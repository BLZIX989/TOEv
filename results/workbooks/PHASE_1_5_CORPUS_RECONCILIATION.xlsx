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ources" sheetId="1" state="visible" r:id="rId1"/>
    <sheet xmlns:r="http://schemas.openxmlformats.org/officeDocument/2006/relationships" name="Hashes" sheetId="2" state="visible" r:id="rId2"/>
    <sheet xmlns:r="http://schemas.openxmlformats.org/officeDocument/2006/relationships" name="Source_Provenance" sheetId="3" state="visible" r:id="rId3"/>
    <sheet xmlns:r="http://schemas.openxmlformats.org/officeDocument/2006/relationships" name="Duplicate_Analysis" sheetId="4" state="visible" r:id="rId4"/>
    <sheet xmlns:r="http://schemas.openxmlformats.org/officeDocument/2006/relationships" name="Version_Analysis" sheetId="5" state="visible" r:id="rId5"/>
    <sheet xmlns:r="http://schemas.openxmlformats.org/officeDocument/2006/relationships" name="Equation_Reconciliation" sheetId="6" state="visible" r:id="rId6"/>
    <sheet xmlns:r="http://schemas.openxmlformats.org/officeDocument/2006/relationships" name="Calculation_Reconciliation" sheetId="7" state="visible" r:id="rId7"/>
    <sheet xmlns:r="http://schemas.openxmlformats.org/officeDocument/2006/relationships" name="Status_Reconciliation" sheetId="8" state="visible" r:id="rId8"/>
    <sheet xmlns:r="http://schemas.openxmlformats.org/officeDocument/2006/relationships" name="DER_Reconciliation" sheetId="9" state="visible" r:id="rId9"/>
    <sheet xmlns:r="http://schemas.openxmlformats.org/officeDocument/2006/relationships" name="Dependency_Reconciliation" sheetId="10" state="visible" r:id="rId10"/>
    <sheet xmlns:r="http://schemas.openxmlformats.org/officeDocument/2006/relationships" name="C0_Impact" sheetId="11" state="visible" r:id="rId11"/>
    <sheet xmlns:r="http://schemas.openxmlformats.org/officeDocument/2006/relationships" name="C1_C9_Frontier" sheetId="12" state="visible" r:id="rId12"/>
    <sheet xmlns:r="http://schemas.openxmlformats.org/officeDocument/2006/relationships" name="Newly_Discovered_Results" sheetId="13" state="visible" r:id="rId13"/>
    <sheet xmlns:r="http://schemas.openxmlformats.org/officeDocument/2006/relationships" name="Conflicts" sheetId="14" state="visible" r:id="rId14"/>
    <sheet xmlns:r="http://schemas.openxmlformats.org/officeDocument/2006/relationships" name="Next_DER" sheetId="15" state="visible" r:id="rId15"/>
    <sheet xmlns:r="http://schemas.openxmlformats.org/officeDocument/2006/relationships" name="Provenance" sheetId="16" state="visible" r:id="rId16"/>
    <sheet xmlns:r="http://schemas.openxmlformats.org/officeDocument/2006/relationships" name="Reproducibility" sheetId="17" state="visible" r:id="rId17"/>
    <sheet xmlns:r="http://schemas.openxmlformats.org/officeDocument/2006/relationships" name="Synchronization_v1_v2" sheetId="18" state="visible" r:id="rId18"/>
    <sheet xmlns:r="http://schemas.openxmlformats.org/officeDocument/2006/relationships" name="Synchronization_v2_v3" sheetId="19" state="visible" r:id="rId19"/>
    <sheet xmlns:r="http://schemas.openxmlformats.org/officeDocument/2006/relationships" name="Synchronization_All_Versions" sheetId="20" state="visible" r:id="rId20"/>
    <sheet xmlns:r="http://schemas.openxmlformats.org/officeDocument/2006/relationships" name="Canonical_Synchronization_Deci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2E5B3E"/>
    </font>
  </fonts>
  <fills count="3">
    <fill>
      <patternFill/>
    </fill>
    <fill>
      <patternFill patternType="gray125"/>
    </fill>
    <fill>
      <patternFill patternType="solid">
        <fgColor rgb="002E5B3E"/>
        <bgColor rgb="002E5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.8" customWidth="1" min="2" max="2"/>
    <col width="12" customWidth="1" min="3" max="3"/>
    <col width="12" customWidth="1" min="4" max="4"/>
    <col width="57.6" customWidth="1" min="5" max="5"/>
    <col width="65" customWidth="1" min="6" max="6"/>
    <col width="65" customWidth="1" min="7" max="7"/>
    <col width="54.9" customWidth="1" min="8" max="8"/>
    <col width="65" customWidth="1" min="9" max="9"/>
  </cols>
  <sheetData>
    <row r="1">
      <c r="A1" s="1" t="inlineStr">
        <is>
          <t>SOURCE_ID</t>
        </is>
      </c>
      <c r="B1" s="1" t="inlineStr">
        <is>
          <t>filename</t>
        </is>
      </c>
      <c r="C1" s="1" t="inlineStr">
        <is>
          <t>file_type</t>
        </is>
      </c>
      <c r="D1" s="1" t="inlineStr">
        <is>
          <t>bytes</t>
        </is>
      </c>
      <c r="E1" s="1" t="inlineStr">
        <is>
          <t>sha256</t>
        </is>
      </c>
      <c r="F1" s="1" t="inlineStr">
        <is>
          <t>provenance_verification</t>
        </is>
      </c>
      <c r="G1" s="1" t="inlineStr">
        <is>
          <t>relationship_to_existing_corpus</t>
        </is>
      </c>
      <c r="H1" s="1" t="inlineStr">
        <is>
          <t>source_authority</t>
        </is>
      </c>
      <c r="I1" s="1" t="inlineStr">
        <is>
          <t>status</t>
        </is>
      </c>
    </row>
    <row r="2">
      <c r="A2" t="inlineStr">
        <is>
          <t>SOURCE-001</t>
        </is>
      </c>
      <c r="B2" t="inlineStr">
        <is>
          <t>Theory of Everything - Status Report.docx</t>
        </is>
      </c>
      <c r="C2" t="inlineStr">
        <is>
          <t>DOCX</t>
        </is>
      </c>
      <c r="D2" t="inlineStr">
        <is>
          <t>20340</t>
        </is>
      </c>
      <c r="E2" t="inlineStr">
        <is>
          <t>7369a4ebde4ee742d180599fd3c9f1558011f716d3a6b555d9be1234bd690457</t>
        </is>
      </c>
      <c r="F2" t="inlineStr">
        <is>
          <t>Phase 1: verified identical to corpus's own SRC-007</t>
        </is>
      </c>
      <c r="G2" t="inlineStr">
        <is>
          <t>External mainstream-physics baseline (unrelated to UOC internals)</t>
        </is>
      </c>
      <c r="H2" t="inlineStr">
        <is>
          <t>PRIMARY</t>
        </is>
      </c>
      <c r="I2" t="inlineStr">
        <is>
          <t>Unchanged since Phase 1</t>
        </is>
      </c>
    </row>
    <row r="3">
      <c r="A3" t="inlineStr">
        <is>
          <t>SOURCE-002</t>
        </is>
      </c>
      <c r="B3" t="inlineStr">
        <is>
          <t>ToE Gap Matrix.xlsx</t>
        </is>
      </c>
      <c r="C3" t="inlineStr">
        <is>
          <t>XLSX</t>
        </is>
      </c>
      <c r="D3" t="inlineStr">
        <is>
          <t>32872</t>
        </is>
      </c>
      <c r="E3" t="inlineStr">
        <is>
          <t>2bcd0954977694487e08477cebf5d8c93fcb85d48f53a8760fe12206ae7baecd</t>
        </is>
      </c>
      <c r="F3" t="inlineStr">
        <is>
          <t>Phase 1: verified identical to corpus's own SRC-004</t>
        </is>
      </c>
      <c r="G3" t="inlineStr">
        <is>
          <t>164-question external checklist; embedded verbatim in SOURCE-004/008/009</t>
        </is>
      </c>
      <c r="H3" t="inlineStr">
        <is>
          <t>PRIMARY</t>
        </is>
      </c>
      <c r="I3" t="inlineStr">
        <is>
          <t>Unchanged since Phase 1</t>
        </is>
      </c>
    </row>
    <row r="4">
      <c r="A4" t="inlineStr">
        <is>
          <t>SOURCE-003</t>
        </is>
      </c>
      <c r="B4" t="inlineStr">
        <is>
          <t>UOC_Master_Closure_Updated.xlsx</t>
        </is>
      </c>
      <c r="C4" t="inlineStr">
        <is>
          <t>XLSX</t>
        </is>
      </c>
      <c r="D4" t="inlineStr">
        <is>
          <t>46545</t>
        </is>
      </c>
      <c r="E4" t="inlineStr">
        <is>
          <t>4c65d28c01afc495c2ded8d4df672d09b88de152e99c8523094bb924cbcf4cfd</t>
        </is>
      </c>
      <c r="F4" t="inlineStr">
        <is>
          <t>Phase 1: verified identical to corpus's own SRC-002</t>
        </is>
      </c>
      <c r="G4" t="inlineStr">
        <is>
          <t>Intermediate closure snapshot; embedded verbatim in SOURCE-004/008/009</t>
        </is>
      </c>
      <c r="H4" t="inlineStr">
        <is>
          <t>PRIMARY</t>
        </is>
      </c>
      <c r="I4" t="inlineStr">
        <is>
          <t>Unchanged since Phase 1</t>
        </is>
      </c>
    </row>
    <row r="5">
      <c r="A5" t="inlineStr">
        <is>
          <t>SOURCE-004</t>
        </is>
      </c>
      <c r="B5" t="inlineStr">
        <is>
          <t>UOC_ToE_Canonical_Bridge_Closure_Execution_v2.0.xlsx</t>
        </is>
      </c>
      <c r="C5" t="inlineStr">
        <is>
          <t>XLSX</t>
        </is>
      </c>
      <c r="D5" t="inlineStr">
        <is>
          <t>1069184</t>
        </is>
      </c>
      <c r="E5" t="inlineStr">
        <is>
          <t>69cf3b05b5386fc1324dadd69bc2ce0c7087e68313f6be991951a7e00ce9fec2</t>
        </is>
      </c>
      <c r="F5" t="inlineStr">
        <is>
          <t>Phase 1.5: CONFIRMED = SOURCE-009 (DAG_Closure_v1.0) + 8 new BRIDGE_* sheets (101/102 shared sheets byte-identical; only DAG_00_DASHBOARD differs by 2 additive summary rows)</t>
        </is>
      </c>
      <c r="G5" t="inlineStr">
        <is>
          <t>Most complete synthesis prior to this phase</t>
        </is>
      </c>
      <c r="H5" t="inlineStr">
        <is>
          <t>PRIMARY / MOST AUTHORITATIVE FOR PHASE 1</t>
        </is>
      </c>
      <c r="I5" t="inlineStr">
        <is>
          <t>Superseded in completeness by nothing in this phase -- still the fullest single UOC registry workbook; Open_Closure_v1.0 (SOURCE-010) is complementary, not a superset</t>
        </is>
      </c>
    </row>
    <row r="6">
      <c r="A6" t="inlineStr">
        <is>
          <t>SOURCE-005</t>
        </is>
      </c>
      <c r="B6" t="inlineStr">
        <is>
          <t>UOC_ToE_Canonical_Calculated_Master_v1.0.xlsx</t>
        </is>
      </c>
      <c r="C6" t="inlineStr">
        <is>
          <t>XLSX</t>
        </is>
      </c>
      <c r="D6" t="inlineStr">
        <is>
          <t>80424</t>
        </is>
      </c>
      <c r="E6" t="inlineStr">
        <is>
          <t>b6831f7211e348f5e160122edc9f9d17a2e5122e1243f5d33a0d954d1991b024</t>
        </is>
      </c>
      <c r="F6" t="inlineStr">
        <is>
          <t>Phase 1: no hash match found in SOURCE-004's own checksum tables (independent narrower snapshot)</t>
        </is>
      </c>
      <c r="G6" t="inlineStr">
        <is>
          <t>Certified/calculated-only companion, scope unchanged</t>
        </is>
      </c>
      <c r="H6" t="inlineStr">
        <is>
          <t>PRIMARY</t>
        </is>
      </c>
      <c r="I6" t="inlineStr">
        <is>
          <t>Unchanged since Phase 1</t>
        </is>
      </c>
    </row>
    <row r="7">
      <c r="A7" t="inlineStr">
        <is>
          <t>SOURCE-006</t>
        </is>
      </c>
      <c r="B7" t="inlineStr">
        <is>
          <t>UOC_ToE_Canonical_Synchronization_Master_v1.0.xlsx</t>
        </is>
      </c>
      <c r="C7" t="inlineStr">
        <is>
          <t>XLSX</t>
        </is>
      </c>
      <c r="D7" t="inlineStr">
        <is>
          <t>358987</t>
        </is>
      </c>
      <c r="E7" t="inlineStr">
        <is>
          <t>4727f3850512787b042ad6c9d7b0d46fc98f746bdc7b0de7603e478b524fe971</t>
        </is>
      </c>
      <c r="F7" t="inlineStr">
        <is>
          <t>Phase 1.5 NEW UPLOAD: hash MATCHES the value SOURCE-004 itself recorded (51_SYNC_SOURCE_HASHES, row 'v1 master') for this exact file -- independently confirms SOURCE-004's own provenance claim</t>
        </is>
      </c>
      <c r="G7" t="inlineStr">
        <is>
          <t>Earliest synchronization snapshot; 49/50 sheets byte-identical to content already in SOURCE-004 (only 00_DASHBOARD differs, historical)</t>
        </is>
      </c>
      <c r="H7" t="inlineStr">
        <is>
          <t>PRIMARY (newly independently verified)</t>
        </is>
      </c>
      <c r="I7" t="inlineStr">
        <is>
          <t>CORRECTION to Phase 1: this file's hash appeared in SOURCE-004's own 51_SYNC_SOURCE_HASHES sheet ('v1 master') but Phase 1's UPSTREAM_REFERENCED_SOURCES.csv table was built only from the narrower 53_SOURCE_CORPUS_REGISTRY sheet (17 rows) and did not include a row for it -- Phase 1 undercounted the true upstream reference set by at least this file. Now independently present and hash-verified.</t>
        </is>
      </c>
    </row>
    <row r="8">
      <c r="A8" t="inlineStr">
        <is>
          <t>SOURCE-007</t>
        </is>
      </c>
      <c r="B8" t="inlineStr">
        <is>
          <t>UOC_ToE_Canonical_Synchronization_Master_v2.0.xlsx</t>
        </is>
      </c>
      <c r="C8" t="inlineStr">
        <is>
          <t>XLSX</t>
        </is>
      </c>
      <c r="D8" t="inlineStr">
        <is>
          <t>468963</t>
        </is>
      </c>
      <c r="E8" t="inlineStr">
        <is>
          <t>8cee19789757432bd4d866a2a6ebcefca4cfeadf4d6e5f4b111ae74a4b91b32e</t>
        </is>
      </c>
      <c r="F8" t="inlineStr">
        <is>
          <t>Phase 1.5 NEW UPLOAD: hash MATCHES EXACTLY the value already recorded as SRC-001 in Phase 1's own source_records/inventory/UPSTREAM_REFERENCED_SOURCES.csv (468963 bytes, same SHA-256) -- this IS SRC-001, now independently present and verified</t>
        </is>
      </c>
      <c r="G8" t="inlineStr">
        <is>
          <t>Second synchronization snapshot; 62/63 sheets byte-identical to SOURCE-004 content (only 00_DASHBOARD differs)</t>
        </is>
      </c>
      <c r="H8" t="inlineStr">
        <is>
          <t>PRIMARY (newly independently verified)</t>
        </is>
      </c>
      <c r="I8" t="inlineStr">
        <is>
          <t>This is SRC-001 from Phase 1's UPSTREAM_REFERENCED_SOURCES.csv, previously marked NO (not present); now CONFIRMED present with matching hash -- clean resolution, not a conflict</t>
        </is>
      </c>
    </row>
    <row r="9">
      <c r="A9" t="inlineStr">
        <is>
          <t>SOURCE-008</t>
        </is>
      </c>
      <c r="B9" t="inlineStr">
        <is>
          <t>UOC_ToE_Canonical_Synchronization_Master_v3.0.xlsx</t>
        </is>
      </c>
      <c r="C9" t="inlineStr">
        <is>
          <t>XLSX</t>
        </is>
      </c>
      <c r="D9" t="inlineStr">
        <is>
          <t>809889</t>
        </is>
      </c>
      <c r="E9" t="inlineStr">
        <is>
          <t>2e6c3d9b01c91ff812e11a5ffb706d4af027a0b84e79ab6ae7c134eb62f5bc68</t>
        </is>
      </c>
      <c r="F9" t="inlineStr">
        <is>
          <t>Phase 1.5 NEW UPLOAD: no prior hash on file anywhere in the corpus for this exact filename/version (v3.0 was previously named only narratively as SOURCE-004's 'Base synchronization workbook' in DAG_00_DASHBOARD, without a hash)</t>
        </is>
      </c>
      <c r="G9" t="inlineStr">
        <is>
          <t>Direct, exact ancestor of SOURCE-009 and SOURCE-004: ALL 73 shared sheets byte-identical (0 diffs, including 00_DASHBOARD)</t>
        </is>
      </c>
      <c r="H9" t="inlineStr">
        <is>
          <t>PRIMARY (newly independently verified)</t>
        </is>
      </c>
      <c r="I9" t="inlineStr">
        <is>
          <t>New to this workspace; confirms SOURCE-004's narrative provenance claim with an exact byte-level match</t>
        </is>
      </c>
    </row>
    <row r="10">
      <c r="A10" t="inlineStr">
        <is>
          <t>SOURCE-009</t>
        </is>
      </c>
      <c r="B10" t="inlineStr">
        <is>
          <t>UOC_ToE_Master_Dependency_DAG_Closure_v1.0.xlsx</t>
        </is>
      </c>
      <c r="C10" t="inlineStr">
        <is>
          <t>XLSX</t>
        </is>
      </c>
      <c r="D10" t="inlineStr">
        <is>
          <t>1044948</t>
        </is>
      </c>
      <c r="E10" t="inlineStr">
        <is>
          <t>b9bf8a4a86654def046c42eeccd0fda72796c9e823a29cd793f1b1862aebab3c</t>
        </is>
      </c>
      <c r="F10" t="inlineStr">
        <is>
          <t>Phase 1.5 NEW UPLOAD: no prior hash on file anywhere in the corpus (this file itself was never hash-registered by SOURCE-004, only named narratively as 'Workbook: UOC_ToE_Master_Dependency_DAG_Closure_v1.0.xlsx' in DAG_00_DASHBOARD)</t>
        </is>
      </c>
      <c r="G10" t="inlineStr">
        <is>
          <t>CONFIRMED direct, exact ancestor of SOURCE-004: 101/102 shared sheets byte-identical; this IS the literal source that compiler/dag/*.csv was built from in Phase 1 (via its identical copy inside SOURCE-004)</t>
        </is>
      </c>
      <c r="H10" t="inlineStr">
        <is>
          <t>PRIMARY (newly independently verified)</t>
        </is>
      </c>
      <c r="I10" t="inlineStr">
        <is>
          <t>New to this workspace; closes the provenance chain for the entire compiler/dag/ folder built in Phase 1</t>
        </is>
      </c>
    </row>
    <row r="11">
      <c r="A11" t="inlineStr">
        <is>
          <t>SOURCE-010</t>
        </is>
      </c>
      <c r="B11" t="inlineStr">
        <is>
          <t>UOC_ToE_Open_Closure_Master_v1.0.xlsx</t>
        </is>
      </c>
      <c r="C11" t="inlineStr">
        <is>
          <t>XLSX</t>
        </is>
      </c>
      <c r="D11" t="inlineStr">
        <is>
          <t>134233</t>
        </is>
      </c>
      <c r="E11" t="inlineStr">
        <is>
          <t>642028e3ee0a38754cf1d340dc4d1d35eaa36b3c7aa7f706b444d01a91b50535</t>
        </is>
      </c>
      <c r="F11" t="inlineStr">
        <is>
          <t>Phase 1.5 NEW UPLOAD: NOT referenced anywhere in SOURCE-004's own provenance tables (53_SOURCE_CORPUS_REGISTRY, 62_V3_SYNC_CHECKSUMS) -- this is a GENUINELY INDEPENDENT document, not a predecessor of SOURCE-004</t>
        </is>
      </c>
      <c r="G11" t="inlineStr">
        <is>
          <t>ZERO sheet-name overlap with any other source in the corpus (30 sheets, entirely distinct naming scheme). Contains: external ToE benchmark (TOE-*), successful-theory comparison (ST-*), external-program comparison (EXT-*), open master/bridges/theorems/proofs/equations/variables/simulations, per-domain closure sheets, priority execution plan (P0-P3), per-question closure audit (25_NOT_YET_ADDRESSED, 164 rows), and a candidate-scorecard comparing UOC/SEIT against 7 external QG programs</t>
        </is>
      </c>
      <c r="H11" t="inlineStr">
        <is>
          <t>PRIMARY (newly independently verified, genuinely new content)</t>
        </is>
      </c>
      <c r="I11" t="inlineStr">
        <is>
          <t>New to this workspace; see NEWLY_DISCOVERED_CALCULATIONS.md and CONFLICTS_AND_VERSION_RESOLUTION.md (CONFLICT-002: ARBS legacy/non-canonical governance statement) for material findings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.8" customWidth="1" min="1" max="1"/>
    <col width="12" customWidth="1" min="2" max="2"/>
    <col width="57.6" customWidth="1" min="3" max="3"/>
    <col width="65" customWidth="1" min="4" max="4"/>
  </cols>
  <sheetData>
    <row r="1">
      <c r="A1" s="1" t="inlineStr">
        <is>
          <t>Filename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Cross-check</t>
        </is>
      </c>
    </row>
    <row r="2">
      <c r="A2" t="inlineStr">
        <is>
          <t>Theory of Everything - Status Report.docx</t>
        </is>
      </c>
      <c r="B2" t="inlineStr">
        <is>
          <t>20340</t>
        </is>
      </c>
      <c r="C2" t="inlineStr">
        <is>
          <t>7369a4ebde4ee742d180599fd3c9f1558011f716d3a6b555d9be1234bd690457</t>
        </is>
      </c>
      <c r="D2" t="inlineStr">
        <is>
          <t>Phase 1: verified identical to corpus's own SRC-007</t>
        </is>
      </c>
    </row>
    <row r="3">
      <c r="A3" t="inlineStr">
        <is>
          <t>ToE Gap Matrix.xlsx</t>
        </is>
      </c>
      <c r="B3" t="inlineStr">
        <is>
          <t>32872</t>
        </is>
      </c>
      <c r="C3" t="inlineStr">
        <is>
          <t>2bcd0954977694487e08477cebf5d8c93fcb85d48f53a8760fe12206ae7baecd</t>
        </is>
      </c>
      <c r="D3" t="inlineStr">
        <is>
          <t>Phase 1: verified identical to corpus's own SRC-004</t>
        </is>
      </c>
    </row>
    <row r="4">
      <c r="A4" t="inlineStr">
        <is>
          <t>UOC_Master_Closure_Updated.xlsx</t>
        </is>
      </c>
      <c r="B4" t="inlineStr">
        <is>
          <t>46545</t>
        </is>
      </c>
      <c r="C4" t="inlineStr">
        <is>
          <t>4c65d28c01afc495c2ded8d4df672d09b88de152e99c8523094bb924cbcf4cfd</t>
        </is>
      </c>
      <c r="D4" t="inlineStr">
        <is>
          <t>Phase 1: verified identical to corpus's own SRC-002</t>
        </is>
      </c>
    </row>
    <row r="5">
      <c r="A5" t="inlineStr">
        <is>
          <t>UOC_ToE_Canonical_Bridge_Closure_Execution_v2.0.xlsx</t>
        </is>
      </c>
      <c r="B5" t="inlineStr">
        <is>
          <t>1069184</t>
        </is>
      </c>
      <c r="C5" t="inlineStr">
        <is>
          <t>69cf3b05b5386fc1324dadd69bc2ce0c7087e68313f6be991951a7e00ce9fec2</t>
        </is>
      </c>
      <c r="D5" t="inlineStr">
        <is>
          <t>Phase 1.5: CONFIRMED = SOURCE-009 (DAG_Closure_v1.0) + 8 new BRIDGE_* sheets (101/102 shared sheets byte-identical; only DAG_00_DASHBOARD differs by 2 additive summary rows)</t>
        </is>
      </c>
    </row>
    <row r="6">
      <c r="A6" t="inlineStr">
        <is>
          <t>UOC_ToE_Canonical_Calculated_Master_v1.0.xlsx</t>
        </is>
      </c>
      <c r="B6" t="inlineStr">
        <is>
          <t>80424</t>
        </is>
      </c>
      <c r="C6" t="inlineStr">
        <is>
          <t>b6831f7211e348f5e160122edc9f9d17a2e5122e1243f5d33a0d954d1991b024</t>
        </is>
      </c>
      <c r="D6" t="inlineStr">
        <is>
          <t>Phase 1: no hash match found in SOURCE-004's own checksum tables (independent narrower snapshot)</t>
        </is>
      </c>
    </row>
    <row r="7">
      <c r="A7" t="inlineStr">
        <is>
          <t>UOC_ToE_Canonical_Synchronization_Master_v1.0.xlsx</t>
        </is>
      </c>
      <c r="B7" t="inlineStr">
        <is>
          <t>358987</t>
        </is>
      </c>
      <c r="C7" t="inlineStr">
        <is>
          <t>4727f3850512787b042ad6c9d7b0d46fc98f746bdc7b0de7603e478b524fe971</t>
        </is>
      </c>
      <c r="D7" t="inlineStr">
        <is>
          <t>Phase 1.5 NEW UPLOAD: hash MATCHES the value SOURCE-004 itself recorded (51_SYNC_SOURCE_HASHES, row 'v1 master') for this exact file -- independently confirms SOURCE-004's own provenance claim</t>
        </is>
      </c>
    </row>
    <row r="8">
      <c r="A8" t="inlineStr">
        <is>
          <t>UOC_ToE_Canonical_Synchronization_Master_v2.0.xlsx</t>
        </is>
      </c>
      <c r="B8" t="inlineStr">
        <is>
          <t>468963</t>
        </is>
      </c>
      <c r="C8" t="inlineStr">
        <is>
          <t>8cee19789757432bd4d866a2a6ebcefca4cfeadf4d6e5f4b111ae74a4b91b32e</t>
        </is>
      </c>
      <c r="D8" t="inlineStr">
        <is>
          <t>Phase 1.5 NEW UPLOAD: hash MATCHES EXACTLY the value already recorded as SRC-001 in Phase 1's own source_records/inventory/UPSTREAM_REFERENCED_SOURCES.csv (468963 bytes, same SHA-256) -- this IS SRC-0</t>
        </is>
      </c>
    </row>
    <row r="9">
      <c r="A9" t="inlineStr">
        <is>
          <t>UOC_ToE_Canonical_Synchronization_Master_v3.0.xlsx</t>
        </is>
      </c>
      <c r="B9" t="inlineStr">
        <is>
          <t>809889</t>
        </is>
      </c>
      <c r="C9" t="inlineStr">
        <is>
          <t>2e6c3d9b01c91ff812e11a5ffb706d4af027a0b84e79ab6ae7c134eb62f5bc68</t>
        </is>
      </c>
      <c r="D9" t="inlineStr">
        <is>
          <t>Phase 1.5 NEW UPLOAD: no prior hash on file anywhere in the corpus for this exact filename/version (v3.0 was previously named only narratively as SOURCE-004's 'Base synchronization workbook' in DAG_00</t>
        </is>
      </c>
    </row>
    <row r="10">
      <c r="A10" t="inlineStr">
        <is>
          <t>UOC_ToE_Master_Dependency_DAG_Closure_v1.0.xlsx</t>
        </is>
      </c>
      <c r="B10" t="inlineStr">
        <is>
          <t>1044948</t>
        </is>
      </c>
      <c r="C10" t="inlineStr">
        <is>
          <t>b9bf8a4a86654def046c42eeccd0fda72796c9e823a29cd793f1b1862aebab3c</t>
        </is>
      </c>
      <c r="D10" t="inlineStr">
        <is>
          <t>Phase 1.5 NEW UPLOAD: no prior hash on file anywhere in the corpus (this file itself was never hash-registered by SOURCE-004, only named narratively as 'Workbook: UOC_ToE_Master_Dependency_DAG_Closure</t>
        </is>
      </c>
    </row>
    <row r="11">
      <c r="A11" t="inlineStr">
        <is>
          <t>UOC_ToE_Open_Closure_Master_v1.0.xlsx</t>
        </is>
      </c>
      <c r="B11" t="inlineStr">
        <is>
          <t>134233</t>
        </is>
      </c>
      <c r="C11" t="inlineStr">
        <is>
          <t>642028e3ee0a38754cf1d340dc4d1d35eaa36b3c7aa7f706b444d01a91b50535</t>
        </is>
      </c>
      <c r="D11" t="inlineStr">
        <is>
          <t xml:space="preserve">Phase 1.5 NEW UPLOAD: NOT referenced anywhere in SOURCE-004's own provenance tables (53_SOURCE_CORPUS_REGISTRY, 62_V3_SYNC_CHECKSUMS) -- this is a GENUINELY INDEPENDENT document, not a predecessor of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36" customWidth="1" min="4" max="4"/>
    <col width="26.1" customWidth="1" min="5" max="5"/>
    <col width="14.4" customWidth="1" min="6" max="6"/>
    <col width="57.6" customWidth="1" min="7" max="7"/>
    <col width="45" customWidth="1" min="8" max="8"/>
    <col width="65" customWidth="1" min="9" max="9"/>
  </cols>
  <sheetData>
    <row r="1">
      <c r="A1" s="2" t="inlineStr">
        <is>
          <t>Phase-1 upstream reference table (unchanged) -- cross-check against source_registry_vNEXT.csv above</t>
        </is>
      </c>
    </row>
    <row r="2">
      <c r="A2" s="1" t="inlineStr">
        <is>
          <t>UPSTREAM_ID</t>
        </is>
      </c>
      <c r="B2" s="1" t="inlineStr">
        <is>
          <t>Filename</t>
        </is>
      </c>
      <c r="C2" s="1" t="inlineStr">
        <is>
          <t>Type</t>
        </is>
      </c>
      <c r="D2" s="1" t="inlineStr">
        <is>
          <t>Role_in_corpus</t>
        </is>
      </c>
      <c r="E2" s="1" t="inlineStr">
        <is>
          <t>Sync_Status_claimed_by_corpus</t>
        </is>
      </c>
      <c r="F2" s="1" t="inlineStr">
        <is>
          <t>Bytes_per_corpus</t>
        </is>
      </c>
      <c r="G2" s="1" t="inlineStr">
        <is>
          <t>SHA256_per_corpus</t>
        </is>
      </c>
      <c r="H2" s="1" t="inlineStr">
        <is>
          <t>Independently_present_in_this_workspace</t>
        </is>
      </c>
      <c r="I2" s="1" t="inlineStr">
        <is>
          <t>Verification_note</t>
        </is>
      </c>
    </row>
    <row r="3">
      <c r="A3" t="inlineStr">
        <is>
          <t>SRC-001</t>
        </is>
      </c>
      <c r="B3" t="inlineStr">
        <is>
          <t>UOC_ToE_Canonical_Synchronization_Master_v2.0.xlsx</t>
        </is>
      </c>
      <c r="C3" t="inlineStr">
        <is>
          <t>XLSX</t>
        </is>
      </c>
      <c r="D3" t="inlineStr">
        <is>
          <t>Canonical synchronization predecessor</t>
        </is>
      </c>
      <c r="E3" t="inlineStr">
        <is>
          <t>v2 master database</t>
        </is>
      </c>
      <c r="F3" t="inlineStr">
        <is>
          <t>468963</t>
        </is>
      </c>
      <c r="G3" t="inlineStr">
        <is>
          <t>8cee19789757432bd4d866a2a6ebcefca4cfeadf4d6e5f4b111ae74a4b91b32e</t>
        </is>
      </c>
      <c r="H3" t="inlineStr">
        <is>
          <t>NO</t>
        </is>
      </c>
      <c r="I3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4">
      <c r="A4" t="inlineStr">
        <is>
          <t>SRC-002</t>
        </is>
      </c>
      <c r="B4" t="inlineStr">
        <is>
          <t>UOC_Master_Closure_Updated.xlsx</t>
        </is>
      </c>
      <c r="C4" t="inlineStr">
        <is>
          <t>XLSX</t>
        </is>
      </c>
      <c r="D4" t="inlineStr">
        <is>
          <t>Closure database</t>
        </is>
      </c>
      <c r="E4" t="inlineStr">
        <is>
          <t>Synchronized</t>
        </is>
      </c>
      <c r="F4" t="inlineStr">
        <is>
          <t>46545</t>
        </is>
      </c>
      <c r="G4" t="inlineStr">
        <is>
          <t>4c65d28c01afc495c2ded8d4df672d09b88de152e99c8523094bb924cbcf4cfd</t>
        </is>
      </c>
      <c r="H4" t="inlineStr">
        <is>
          <t>YES — matches SOURCE-003 (hash-verified identical)</t>
        </is>
      </c>
      <c r="I4" t="inlineStr">
        <is>
          <t>Independently verified: SHA256 matches the file uploaded to this session as SOURCE-003.</t>
        </is>
      </c>
    </row>
    <row r="5">
      <c r="A5" t="inlineStr">
        <is>
          <t>SRC-003</t>
        </is>
      </c>
      <c r="B5" t="inlineStr">
        <is>
          <t>UOC_SEIT_Combined_Master_Matrix.xlsx</t>
        </is>
      </c>
      <c r="C5" t="inlineStr">
        <is>
          <t>XLSX</t>
        </is>
      </c>
      <c r="D5" t="inlineStr">
        <is>
          <t>SEIT master database</t>
        </is>
      </c>
      <c r="E5" t="inlineStr">
        <is>
          <t>Synchronized</t>
        </is>
      </c>
      <c r="F5" t="inlineStr">
        <is>
          <t>29835</t>
        </is>
      </c>
      <c r="G5" t="inlineStr">
        <is>
          <t>8ce73df5f60f95a39c4534a0a650baf3800a21164f7b8a65bb2a4d902fe2ae42</t>
        </is>
      </c>
      <c r="H5" t="inlineStr">
        <is>
          <t>NO</t>
        </is>
      </c>
      <c r="I5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6">
      <c r="A6" t="inlineStr">
        <is>
          <t>SRC-004</t>
        </is>
      </c>
      <c r="B6" t="inlineStr">
        <is>
          <t>ToE Gap Matrix.xlsx</t>
        </is>
      </c>
      <c r="C6" t="inlineStr">
        <is>
          <t>XLSX</t>
        </is>
      </c>
      <c r="D6" t="inlineStr">
        <is>
          <t>164-question gap database</t>
        </is>
      </c>
      <c r="E6" t="inlineStr">
        <is>
          <t>Synchronized</t>
        </is>
      </c>
      <c r="F6" t="inlineStr">
        <is>
          <t>32872</t>
        </is>
      </c>
      <c r="G6" t="inlineStr">
        <is>
          <t>2bcd0954977694487e08477cebf5d8c93fcb85d48f53a8760fe12206ae7baecd</t>
        </is>
      </c>
      <c r="H6" t="inlineStr">
        <is>
          <t>YES — matches SOURCE-002 (hash-verified identical)</t>
        </is>
      </c>
      <c r="I6" t="inlineStr">
        <is>
          <t>Independently verified: SHA256 matches the file uploaded to this session as SOURCE-002.</t>
        </is>
      </c>
    </row>
    <row r="7">
      <c r="A7" t="inlineStr">
        <is>
          <t>SRC-005</t>
        </is>
      </c>
      <c r="B7" t="inlineStr">
        <is>
          <t>Combined Compiler Theories Whitepaper(2).docx</t>
        </is>
      </c>
      <c r="C7" t="inlineStr">
        <is>
          <t>DOCX</t>
        </is>
      </c>
      <c r="D7" t="inlineStr">
        <is>
          <t>Compiler/ToE source corpus</t>
        </is>
      </c>
      <c r="E7" t="inlineStr">
        <is>
          <t>Synchronized</t>
        </is>
      </c>
      <c r="F7" t="inlineStr">
        <is>
          <t>1847272</t>
        </is>
      </c>
      <c r="G7" t="inlineStr">
        <is>
          <t>a85fe31a180dd9de355379997ea20e4430799163246c824bd381975d87fb5b6c</t>
        </is>
      </c>
      <c r="H7" t="inlineStr">
        <is>
          <t>NO</t>
        </is>
      </c>
      <c r="I7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8">
      <c r="A8" t="inlineStr">
        <is>
          <t>SRC-006</t>
        </is>
      </c>
      <c r="B8" t="inlineStr">
        <is>
          <t>SEIT Updated Whitepaper(1).docx</t>
        </is>
      </c>
      <c r="C8" t="inlineStr">
        <is>
          <t>DOCX</t>
        </is>
      </c>
      <c r="D8" t="inlineStr">
        <is>
          <t>SEIT source corpus</t>
        </is>
      </c>
      <c r="E8" t="inlineStr">
        <is>
          <t>Synchronized</t>
        </is>
      </c>
      <c r="F8" t="inlineStr">
        <is>
          <t>24229</t>
        </is>
      </c>
      <c r="G8" t="inlineStr">
        <is>
          <t>11ba6f285665f9e95b384fe023239b71cdec7d280ddedd2d072f9a79f4a097e2</t>
        </is>
      </c>
      <c r="H8" t="inlineStr">
        <is>
          <t>NO</t>
        </is>
      </c>
      <c r="I8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9">
      <c r="A9" t="inlineStr">
        <is>
          <t>SRC-007</t>
        </is>
      </c>
      <c r="B9" t="inlineStr">
        <is>
          <t>Theory of Everything - Status Report(1).docx</t>
        </is>
      </c>
      <c r="C9" t="inlineStr">
        <is>
          <t>DOCX</t>
        </is>
      </c>
      <c r="D9" t="inlineStr">
        <is>
          <t>Project status source</t>
        </is>
      </c>
      <c r="E9" t="inlineStr">
        <is>
          <t>Synchronized</t>
        </is>
      </c>
      <c r="F9" t="inlineStr">
        <is>
          <t>20340</t>
        </is>
      </c>
      <c r="G9" t="inlineStr">
        <is>
          <t>7369a4ebde4ee742d180599fd3c9f1558011f716d3a6b555d9be1234bd690457</t>
        </is>
      </c>
      <c r="H9" t="inlineStr">
        <is>
          <t>YES — matches SOURCE-001 (hash-verified identical)</t>
        </is>
      </c>
      <c r="I9" t="inlineStr">
        <is>
          <t>Independently verified: SHA256 matches the file uploaded to this session as SOURCE-001.</t>
        </is>
      </c>
    </row>
    <row r="10">
      <c r="A10" t="inlineStr">
        <is>
          <t>SRC-008</t>
        </is>
      </c>
      <c r="B10" t="inlineStr">
        <is>
          <t>UCG Specification v5(1).docx</t>
        </is>
      </c>
      <c r="C10" t="inlineStr">
        <is>
          <t>DOCX</t>
        </is>
      </c>
      <c r="D10" t="inlineStr">
        <is>
          <t>Universal compiler grammar specification</t>
        </is>
      </c>
      <c r="E10" t="inlineStr">
        <is>
          <t>Synchronized</t>
        </is>
      </c>
      <c r="F10" t="inlineStr">
        <is>
          <t>61895</t>
        </is>
      </c>
      <c r="G10" t="inlineStr">
        <is>
          <t>aee383e02ea4ea40f31b95474e5f9b89a9c0d26a8456ef91d9a8912f82d50624</t>
        </is>
      </c>
      <c r="H10" t="inlineStr">
        <is>
          <t>NO</t>
        </is>
      </c>
      <c r="I10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1">
      <c r="A11" t="inlineStr">
        <is>
          <t>SRC-009</t>
        </is>
      </c>
      <c r="B11" t="inlineStr">
        <is>
          <t>UCR UCCP UCA v1(1).docx</t>
        </is>
      </c>
      <c r="C11" t="inlineStr">
        <is>
          <t>DOCX</t>
        </is>
      </c>
      <c r="D11" t="inlineStr">
        <is>
          <t>Compiler recovery/UCCP/UCA source</t>
        </is>
      </c>
      <c r="E11" t="inlineStr">
        <is>
          <t>Synchronized</t>
        </is>
      </c>
      <c r="F11" t="inlineStr">
        <is>
          <t>28951</t>
        </is>
      </c>
      <c r="G11" t="inlineStr">
        <is>
          <t>b40cbd491090596ec17dcb72942c8988256dae63884e2dbfb2b96cdcceb62e4b</t>
        </is>
      </c>
      <c r="H11" t="inlineStr">
        <is>
          <t>NO</t>
        </is>
      </c>
      <c r="I11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2">
      <c r="A12" t="inlineStr">
        <is>
          <t>SRC-010</t>
        </is>
      </c>
      <c r="B12" t="inlineStr">
        <is>
          <t>UQR UCA v2(1).docx</t>
        </is>
      </c>
      <c r="C12" t="inlineStr">
        <is>
          <t>DOCX</t>
        </is>
      </c>
      <c r="D12" t="inlineStr">
        <is>
          <t>Quantum recovery/UCA source</t>
        </is>
      </c>
      <c r="E12" t="inlineStr">
        <is>
          <t>Synchronized</t>
        </is>
      </c>
      <c r="F12" t="inlineStr">
        <is>
          <t>33766</t>
        </is>
      </c>
      <c r="G12" t="inlineStr">
        <is>
          <t>6507fbfba4f077610835844cb6c5c74ec17c75339116194e6f60262b3d9e1009</t>
        </is>
      </c>
      <c r="H12" t="inlineStr">
        <is>
          <t>NO</t>
        </is>
      </c>
      <c r="I12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3">
      <c r="A13" t="inlineStr">
        <is>
          <t>SRC-011</t>
        </is>
      </c>
      <c r="B13" t="inlineStr">
        <is>
          <t>UPG Canonical Reference.docx</t>
        </is>
      </c>
      <c r="C13" t="inlineStr">
        <is>
          <t>DOCX</t>
        </is>
      </c>
      <c r="D13" t="inlineStr">
        <is>
          <t>Canonical primitive/grammar reference</t>
        </is>
      </c>
      <c r="E13" t="inlineStr">
        <is>
          <t>Synchronized</t>
        </is>
      </c>
      <c r="F13" t="inlineStr">
        <is>
          <t>35826</t>
        </is>
      </c>
      <c r="G13" t="inlineStr">
        <is>
          <t>5aa59341ef3f4728c8e012c27314a488e8ed49e544678f85dc274a78cf785b9b</t>
        </is>
      </c>
      <c r="H13" t="inlineStr">
        <is>
          <t>NO</t>
        </is>
      </c>
      <c r="I13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4">
      <c r="A14" t="inlineStr">
        <is>
          <t>SRC-012</t>
        </is>
      </c>
      <c r="B14" t="inlineStr">
        <is>
          <t>CVR-001 Compiler Verification Report.docx</t>
        </is>
      </c>
      <c r="C14" t="inlineStr">
        <is>
          <t>DOCX</t>
        </is>
      </c>
      <c r="D14" t="inlineStr">
        <is>
          <t>Compiler verification source</t>
        </is>
      </c>
      <c r="E14" t="inlineStr">
        <is>
          <t>Synchronized</t>
        </is>
      </c>
      <c r="F14" t="inlineStr">
        <is>
          <t>26520</t>
        </is>
      </c>
      <c r="G14" t="inlineStr">
        <is>
          <t>a34e74ae897b55bd56b959ea9b383dc907e7d7af2484179c0f8a31747e7ce08f</t>
        </is>
      </c>
      <c r="H14" t="inlineStr">
        <is>
          <t>NO</t>
        </is>
      </c>
      <c r="I14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5">
      <c r="A15" t="inlineStr">
        <is>
          <t>SRC-013</t>
        </is>
      </c>
      <c r="B15" t="inlineStr">
        <is>
          <t>SEF SIT Specification v2.docx</t>
        </is>
      </c>
      <c r="C15" t="inlineStr">
        <is>
          <t>DOCX</t>
        </is>
      </c>
      <c r="D15" t="inlineStr">
        <is>
          <t>Spectral emergence specification</t>
        </is>
      </c>
      <c r="E15" t="inlineStr">
        <is>
          <t>Synchronized</t>
        </is>
      </c>
      <c r="F15" t="inlineStr">
        <is>
          <t>15941</t>
        </is>
      </c>
      <c r="G15" t="inlineStr">
        <is>
          <t>755b443b11e7a8072efd432a417d0cbc4eccc6931971244a45968932ad62fb67</t>
        </is>
      </c>
      <c r="H15" t="inlineStr">
        <is>
          <t>NO</t>
        </is>
      </c>
      <c r="I15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6">
      <c r="A16" t="inlineStr">
        <is>
          <t>SRC-014</t>
        </is>
      </c>
      <c r="B16" t="inlineStr">
        <is>
          <t>Audit and Recommended Revisions.docx</t>
        </is>
      </c>
      <c r="C16" t="inlineStr">
        <is>
          <t>DOCX</t>
        </is>
      </c>
      <c r="D16" t="inlineStr">
        <is>
          <t>Audit/correction source</t>
        </is>
      </c>
      <c r="E16" t="inlineStr">
        <is>
          <t>Synchronized</t>
        </is>
      </c>
      <c r="F16" t="inlineStr">
        <is>
          <t>16363</t>
        </is>
      </c>
      <c r="G16" t="inlineStr">
        <is>
          <t>62a3ff6e0f63f08b37d73f9984e5757e82ae8ac8a983514b37fd7cb0f9a8c636</t>
        </is>
      </c>
      <c r="H16" t="inlineStr">
        <is>
          <t>NO</t>
        </is>
      </c>
      <c r="I16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7">
      <c r="A17" t="inlineStr">
        <is>
          <t>SRC-015</t>
        </is>
      </c>
      <c r="B17" t="inlineStr">
        <is>
          <t>DER Registry v2.docx</t>
        </is>
      </c>
      <c r="C17" t="inlineStr">
        <is>
          <t>DOCX</t>
        </is>
      </c>
      <c r="D17" t="inlineStr">
        <is>
          <t>Derivation registry</t>
        </is>
      </c>
      <c r="E17" t="inlineStr">
        <is>
          <t>Synchronized</t>
        </is>
      </c>
      <c r="F17" t="inlineStr">
        <is>
          <t>33895</t>
        </is>
      </c>
      <c r="G17" t="inlineStr">
        <is>
          <t>ef13776ae5fef5ec54af3d7e270970a9c5787d227b8ac5d1df2e7e143916269f</t>
        </is>
      </c>
      <c r="H17" t="inlineStr">
        <is>
          <t>NO</t>
        </is>
      </c>
      <c r="I17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8">
      <c r="A18" t="inlineStr">
        <is>
          <t>SRC-016</t>
        </is>
      </c>
      <c r="B18" t="inlineStr">
        <is>
          <t>DER Registry.docx</t>
        </is>
      </c>
      <c r="C18" t="inlineStr">
        <is>
          <t>DOCX</t>
        </is>
      </c>
      <c r="D18" t="inlineStr">
        <is>
          <t>Prior derivation registry</t>
        </is>
      </c>
      <c r="E18" t="inlineStr">
        <is>
          <t>Version comparison</t>
        </is>
      </c>
      <c r="F18" t="inlineStr">
        <is>
          <t>28172</t>
        </is>
      </c>
      <c r="G18" t="inlineStr">
        <is>
          <t>a990d6f47a9a2599643b4851abe2d699dbfa3b40cf212a1b242113e6c3e12bbe</t>
        </is>
      </c>
      <c r="H18" t="inlineStr">
        <is>
          <t>NO</t>
        </is>
      </c>
      <c r="I18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  <row r="19">
      <c r="A19" t="inlineStr">
        <is>
          <t>SRC-017</t>
        </is>
      </c>
      <c r="B19" t="inlineStr">
        <is>
          <t>Master Equation Matrix.docx</t>
        </is>
      </c>
      <c r="C19" t="inlineStr">
        <is>
          <t>DOCX</t>
        </is>
      </c>
      <c r="D19" t="inlineStr">
        <is>
          <t>Source equation corpus</t>
        </is>
      </c>
      <c r="E19" t="inlineStr">
        <is>
          <t>Synchronized in v2</t>
        </is>
      </c>
      <c r="F19" t="inlineStr"/>
      <c r="G19" t="inlineStr"/>
      <c r="H19" t="inlineStr">
        <is>
          <t>NO</t>
        </is>
      </c>
      <c r="I19" t="inlineStr">
        <is>
          <t>Not uploaded to this session; content survives only as extracted text/table fragments embedded in SOURCE-004 (sheets 03_RAW_DOC_TABLES, 04_RAW_DOC_PARAGRAPHS, 54_SOURCE_TEXT_CORPUS, 55_SOURCE_XLSX_SNAPSHOTS). Hash/byte-count below is the corpus's own self-reported value, not independently re-verified by this session.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1.4" customWidth="1" min="3" max="3"/>
    <col width="26.1" customWidth="1" min="4" max="4"/>
    <col width="65" customWidth="1" min="5" max="5"/>
  </cols>
  <sheetData>
    <row r="1">
      <c r="A1" s="1" t="inlineStr">
        <is>
          <t>File</t>
        </is>
      </c>
      <c r="B1" s="1" t="inlineStr">
        <is>
          <t>Total sheets</t>
        </is>
      </c>
      <c r="C1" s="1" t="inlineStr">
        <is>
          <t>Sheets byte-identical to existing repo content</t>
        </is>
      </c>
      <c r="D1" s="1" t="inlineStr">
        <is>
          <t>Genuinely new sheets</t>
        </is>
      </c>
      <c r="E1" s="1" t="inlineStr">
        <is>
          <t>Dedup action</t>
        </is>
      </c>
    </row>
    <row r="2">
      <c r="A2" t="inlineStr">
        <is>
          <t>Sync_v1.0 (SOURCE-006)</t>
        </is>
      </c>
      <c r="B2" t="inlineStr">
        <is>
          <t>50</t>
        </is>
      </c>
      <c r="C2" t="inlineStr">
        <is>
          <t>49 (only 00_DASHBOARD differs)</t>
        </is>
      </c>
      <c r="D2" t="inlineStr">
        <is>
          <t>0 (historical dashboard only)</t>
        </is>
      </c>
      <c r="E2" t="inlineStr">
        <is>
          <t>Only 00_DASHBOARD copied to repo</t>
        </is>
      </c>
    </row>
    <row r="3">
      <c r="A3" t="inlineStr">
        <is>
          <t>Sync_v2.0 (SOURCE-007)</t>
        </is>
      </c>
      <c r="B3" t="inlineStr">
        <is>
          <t>63</t>
        </is>
      </c>
      <c r="C3" t="inlineStr">
        <is>
          <t>62 (only 00_DASHBOARD differs)</t>
        </is>
      </c>
      <c r="D3" t="inlineStr">
        <is>
          <t>0 (historical dashboard only)</t>
        </is>
      </c>
      <c r="E3" t="inlineStr">
        <is>
          <t>Only 00_DASHBOARD copied to repo</t>
        </is>
      </c>
    </row>
    <row r="4">
      <c r="A4" t="inlineStr">
        <is>
          <t>Sync_v3.0 (SOURCE-008)</t>
        </is>
      </c>
      <c r="B4" t="inlineStr">
        <is>
          <t>73</t>
        </is>
      </c>
      <c r="C4" t="inlineStr">
        <is>
          <t>73 (0 diffs)</t>
        </is>
      </c>
      <c r="D4" t="inlineStr">
        <is>
          <t>0</t>
        </is>
      </c>
      <c r="E4" t="inlineStr">
        <is>
          <t>Only 00_DASHBOARD copied (identical to SOURCE-004's, kept for completeness)</t>
        </is>
      </c>
    </row>
    <row r="5">
      <c r="A5" t="inlineStr">
        <is>
          <t>DAG_Closure_v1.0 (SOURCE-009)</t>
        </is>
      </c>
      <c r="B5" t="inlineStr">
        <is>
          <t>102</t>
        </is>
      </c>
      <c r="C5" t="inlineStr">
        <is>
          <t>101 (only DAG_00_DASHBOARD differs)</t>
        </is>
      </c>
      <c r="D5" t="inlineStr">
        <is>
          <t>0 (historical dashboard only)</t>
        </is>
      </c>
      <c r="E5" t="inlineStr">
        <is>
          <t>Only DAG_00_DASHBOARD copied to repo</t>
        </is>
      </c>
    </row>
    <row r="6">
      <c r="A6" t="inlineStr">
        <is>
          <t>Open_Closure_v1.0 (SOURCE-010)</t>
        </is>
      </c>
      <c r="B6" t="inlineStr">
        <is>
          <t>30</t>
        </is>
      </c>
      <c r="C6" t="inlineStr">
        <is>
          <t>0</t>
        </is>
      </c>
      <c r="D6" t="inlineStr">
        <is>
          <t>30 (all)</t>
        </is>
      </c>
      <c r="E6" t="inlineStr">
        <is>
          <t>Fully copied to repo, zero overlap with anything else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12" customWidth="1" min="2" max="2"/>
    <col width="21.6" customWidth="1" min="3" max="3"/>
    <col width="19.8" customWidth="1" min="4" max="4"/>
    <col width="27" customWidth="1" min="5" max="5"/>
    <col width="27" customWidth="1" min="6" max="6"/>
  </cols>
  <sheetData>
    <row r="1">
      <c r="A1" s="1" t="inlineStr">
        <is>
          <t>Version</t>
        </is>
      </c>
      <c r="B1" s="1" t="inlineStr">
        <is>
          <t>Sheets</t>
        </is>
      </c>
      <c r="C1" s="1" t="inlineStr">
        <is>
          <t>New vs predecessor</t>
        </is>
      </c>
      <c r="D1" s="1" t="inlineStr">
        <is>
          <t>Removed vs predecessor</t>
        </is>
      </c>
      <c r="E1" s="1" t="inlineStr">
        <is>
          <t>Content-changed vs predecessor</t>
        </is>
      </c>
      <c r="F1" s="1" t="inlineStr">
        <is>
          <t>Nature of change</t>
        </is>
      </c>
    </row>
    <row r="2">
      <c r="A2" t="inlineStr">
        <is>
          <t>v1.0</t>
        </is>
      </c>
      <c r="B2" t="inlineStr">
        <is>
          <t>50</t>
        </is>
      </c>
      <c r="C2" t="inlineStr">
        <is>
          <t>n/a (earliest available)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v2.0</t>
        </is>
      </c>
      <c r="B3" t="inlineStr">
        <is>
          <t>63</t>
        </is>
      </c>
      <c r="C3" t="inlineStr">
        <is>
          <t>13</t>
        </is>
      </c>
      <c r="D3" t="inlineStr">
        <is>
          <t>0</t>
        </is>
      </c>
      <c r="E3" t="inlineStr">
        <is>
          <t>1 (00_DASHBOARD only)</t>
        </is>
      </c>
      <c r="F3" t="inlineStr">
        <is>
          <t>ADDITIVE</t>
        </is>
      </c>
    </row>
    <row r="4">
      <c r="A4" t="inlineStr">
        <is>
          <t>v3.0</t>
        </is>
      </c>
      <c r="B4" t="inlineStr">
        <is>
          <t>73</t>
        </is>
      </c>
      <c r="C4" t="inlineStr">
        <is>
          <t>10</t>
        </is>
      </c>
      <c r="D4" t="inlineStr">
        <is>
          <t>0</t>
        </is>
      </c>
      <c r="E4" t="inlineStr">
        <is>
          <t>0</t>
        </is>
      </c>
      <c r="F4" t="inlineStr">
        <is>
          <t>ADDITIVE (cleanest transition)</t>
        </is>
      </c>
    </row>
    <row r="5">
      <c r="A5" t="inlineStr">
        <is>
          <t>DAG_Closure_v1.0</t>
        </is>
      </c>
      <c r="B5" t="inlineStr">
        <is>
          <t>102</t>
        </is>
      </c>
      <c r="C5" t="inlineStr">
        <is>
          <t>29</t>
        </is>
      </c>
      <c r="D5" t="inlineStr">
        <is>
          <t>0</t>
        </is>
      </c>
      <c r="E5" t="inlineStr">
        <is>
          <t>0</t>
        </is>
      </c>
      <c r="F5" t="inlineStr">
        <is>
          <t>ADDITIVE</t>
        </is>
      </c>
    </row>
    <row r="6">
      <c r="A6" t="inlineStr">
        <is>
          <t>Bridge Closure Exec. v2.0 (SOURCE-004)</t>
        </is>
      </c>
      <c r="B6" t="inlineStr">
        <is>
          <t>110</t>
        </is>
      </c>
      <c r="C6" t="inlineStr">
        <is>
          <t>8</t>
        </is>
      </c>
      <c r="D6" t="inlineStr">
        <is>
          <t>0</t>
        </is>
      </c>
      <c r="E6" t="inlineStr">
        <is>
          <t>1 (DAG_00_DASHBOARD, +2 rows)</t>
        </is>
      </c>
      <c r="F6" t="inlineStr">
        <is>
          <t>ADDITIVE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.7" customWidth="1" min="2" max="2"/>
    <col width="12.6" customWidth="1" min="3" max="3"/>
    <col width="12" customWidth="1" min="4" max="4"/>
    <col width="36" customWidth="1" min="5" max="5"/>
    <col width="28.8" customWidth="1" min="6" max="6"/>
    <col width="19.8" customWidth="1" min="7" max="7"/>
    <col width="34.2" customWidth="1" min="8" max="8"/>
    <col width="17.1" customWidth="1" min="9" max="9"/>
  </cols>
  <sheetData>
    <row r="1">
      <c r="A1" s="2" t="inlineStr">
        <is>
          <t>204 total rows: 174 existing (unchanged) + 28 new OPEN targets from SOURCE-010</t>
        </is>
      </c>
    </row>
    <row r="2">
      <c r="A2" s="1" t="inlineStr">
        <is>
          <t>Equation_ID</t>
        </is>
      </c>
      <c r="B2" s="1" t="inlineStr">
        <is>
          <t>Section_Code</t>
        </is>
      </c>
      <c r="C2" s="1" t="inlineStr">
        <is>
          <t>Section</t>
        </is>
      </c>
      <c r="D2" s="1" t="inlineStr">
        <is>
          <t>Local_ID</t>
        </is>
      </c>
      <c r="E2" s="1" t="inlineStr">
        <is>
          <t>Equation</t>
        </is>
      </c>
      <c r="F2" s="1" t="inlineStr">
        <is>
          <t>Meaning</t>
        </is>
      </c>
      <c r="G2" s="1" t="inlineStr">
        <is>
          <t>Source</t>
        </is>
      </c>
      <c r="H2" s="1" t="inlineStr">
        <is>
          <t>Status Note</t>
        </is>
      </c>
      <c r="I2" s="1" t="inlineStr">
        <is>
          <t>vNEXT_Source_Tag</t>
        </is>
      </c>
    </row>
    <row r="3">
      <c r="A3" t="inlineStr">
        <is>
          <t>EQ-001</t>
        </is>
      </c>
      <c r="B3" t="inlineStr">
        <is>
          <t>NCG</t>
        </is>
      </c>
      <c r="C3" t="inlineStr">
        <is>
          <t>NCG</t>
        </is>
      </c>
      <c r="D3" t="inlineStr">
        <is>
          <t>1</t>
        </is>
      </c>
      <c r="E3" t="inlineStr">
        <is>
          <t>(A, H, D)</t>
        </is>
      </c>
      <c r="F3" t="inlineStr">
        <is>
          <t>Connes spectral triple</t>
        </is>
      </c>
      <c r="G3" t="inlineStr">
        <is>
          <t>MASTER EQUATION MATRIX</t>
        </is>
      </c>
      <c r="H3" t="inlineStr">
        <is>
          <t>SOURCE-CODED; see closure/status layer</t>
        </is>
      </c>
      <c r="I3" t="inlineStr">
        <is>
          <t>Phase-1 (unchanged)</t>
        </is>
      </c>
    </row>
    <row r="4">
      <c r="A4" t="inlineStr">
        <is>
          <t>EQ-002</t>
        </is>
      </c>
      <c r="B4" t="inlineStr">
        <is>
          <t>NCG</t>
        </is>
      </c>
      <c r="C4" t="inlineStr">
        <is>
          <t>NCG</t>
        </is>
      </c>
      <c r="D4" t="inlineStr">
        <is>
          <t>2</t>
        </is>
      </c>
      <c r="E4" t="inlineStr">
        <is>
          <t>S = Tr(f(D/Λ)) + &lt;ψ,Dψ&gt;</t>
        </is>
      </c>
      <c r="F4" t="inlineStr">
        <is>
          <t>Spectral action + fermionic term</t>
        </is>
      </c>
      <c r="G4" t="inlineStr">
        <is>
          <t>MASTER EQUATION MATRIX</t>
        </is>
      </c>
      <c r="H4" t="inlineStr">
        <is>
          <t>SOURCE-CODED; see closure/status layer</t>
        </is>
      </c>
      <c r="I4" t="inlineStr">
        <is>
          <t>Phase-1 (unchanged)</t>
        </is>
      </c>
    </row>
    <row r="5">
      <c r="A5" t="inlineStr">
        <is>
          <t>EQ-003</t>
        </is>
      </c>
      <c r="B5" t="inlineStr">
        <is>
          <t>NCG</t>
        </is>
      </c>
      <c r="C5" t="inlineStr">
        <is>
          <t>NCG</t>
        </is>
      </c>
      <c r="D5" t="inlineStr">
        <is>
          <t>3</t>
        </is>
      </c>
      <c r="E5" t="inlineStr">
        <is>
          <t>D² = ∇*∇ + (1/4)R</t>
        </is>
      </c>
      <c r="F5" t="inlineStr">
        <is>
          <t>Lichnerowicz relation</t>
        </is>
      </c>
      <c r="G5" t="inlineStr">
        <is>
          <t>MASTER EQUATION MATRIX</t>
        </is>
      </c>
      <c r="H5" t="inlineStr">
        <is>
          <t>SOURCE-CODED; see closure/status layer</t>
        </is>
      </c>
      <c r="I5" t="inlineStr">
        <is>
          <t>Phase-1 (unchanged)</t>
        </is>
      </c>
    </row>
    <row r="6">
      <c r="A6" t="inlineStr">
        <is>
          <t>EQ-004</t>
        </is>
      </c>
      <c r="B6" t="inlineStr">
        <is>
          <t>NCG</t>
        </is>
      </c>
      <c r="C6" t="inlineStr">
        <is>
          <t>NCG</t>
        </is>
      </c>
      <c r="D6" t="inlineStr">
        <is>
          <t>4</t>
        </is>
      </c>
      <c r="E6" t="inlineStr">
        <is>
          <t>Spec(D) = {λ_i}</t>
        </is>
      </c>
      <c r="F6" t="inlineStr">
        <is>
          <t>Dirac spectrum</t>
        </is>
      </c>
      <c r="G6" t="inlineStr">
        <is>
          <t>MASTER EQUATION MATRIX</t>
        </is>
      </c>
      <c r="H6" t="inlineStr">
        <is>
          <t>SOURCE-CODED; see closure/status layer</t>
        </is>
      </c>
      <c r="I6" t="inlineStr">
        <is>
          <t>Phase-1 (unchanged)</t>
        </is>
      </c>
    </row>
    <row r="7">
      <c r="A7" t="inlineStr">
        <is>
          <t>EQ-005</t>
        </is>
      </c>
      <c r="B7" t="inlineStr">
        <is>
          <t>NCG</t>
        </is>
      </c>
      <c r="C7" t="inlineStr">
        <is>
          <t>NCG</t>
        </is>
      </c>
      <c r="D7" t="inlineStr">
        <is>
          <t>5</t>
        </is>
      </c>
      <c r="E7" t="inlineStr">
        <is>
          <t>A = C∞(M) × A_F</t>
        </is>
      </c>
      <c r="F7" t="inlineStr">
        <is>
          <t>Algebra</t>
        </is>
      </c>
      <c r="G7" t="inlineStr">
        <is>
          <t>MASTER EQUATION MATRIX</t>
        </is>
      </c>
      <c r="H7" t="inlineStr">
        <is>
          <t>SOURCE-CODED; see closure/status layer</t>
        </is>
      </c>
      <c r="I7" t="inlineStr">
        <is>
          <t>Phase-1 (unchanged)</t>
        </is>
      </c>
    </row>
    <row r="8">
      <c r="A8" t="inlineStr">
        <is>
          <t>EQ-006</t>
        </is>
      </c>
      <c r="B8" t="inlineStr">
        <is>
          <t>NCG</t>
        </is>
      </c>
      <c r="C8" t="inlineStr">
        <is>
          <t>NCG</t>
        </is>
      </c>
      <c r="D8" t="inlineStr">
        <is>
          <t>6</t>
        </is>
      </c>
      <c r="E8" t="inlineStr">
        <is>
          <t>H = L²(M,S) × H_F</t>
        </is>
      </c>
      <c r="F8" t="inlineStr">
        <is>
          <t>Hilbert space</t>
        </is>
      </c>
      <c r="G8" t="inlineStr">
        <is>
          <t>MASTER EQUATION MATRIX</t>
        </is>
      </c>
      <c r="H8" t="inlineStr">
        <is>
          <t>SOURCE-CODED; see closure/status layer</t>
        </is>
      </c>
      <c r="I8" t="inlineStr">
        <is>
          <t>Phase-1 (unchanged)</t>
        </is>
      </c>
    </row>
    <row r="9">
      <c r="A9" t="inlineStr">
        <is>
          <t>EQ-007</t>
        </is>
      </c>
      <c r="B9" t="inlineStr">
        <is>
          <t>NCG</t>
        </is>
      </c>
      <c r="C9" t="inlineStr">
        <is>
          <t>NCG</t>
        </is>
      </c>
      <c r="D9" t="inlineStr">
        <is>
          <t>7</t>
        </is>
      </c>
      <c r="E9" t="inlineStr">
        <is>
          <t>D = D_M × 1 + γ⁵ × D_F</t>
        </is>
      </c>
      <c r="F9" t="inlineStr">
        <is>
          <t>Product Dirac operator</t>
        </is>
      </c>
      <c r="G9" t="inlineStr">
        <is>
          <t>MASTER EQUATION MATRIX</t>
        </is>
      </c>
      <c r="H9" t="inlineStr">
        <is>
          <t>SOURCE-CODED; see closure/status layer</t>
        </is>
      </c>
      <c r="I9" t="inlineStr">
        <is>
          <t>Phase-1 (unchanged)</t>
        </is>
      </c>
    </row>
    <row r="10">
      <c r="A10" t="inlineStr">
        <is>
          <t>EQ-008</t>
        </is>
      </c>
      <c r="B10" t="inlineStr">
        <is>
          <t>NCG</t>
        </is>
      </c>
      <c r="C10" t="inlineStr">
        <is>
          <t>NCG</t>
        </is>
      </c>
      <c r="D10" t="inlineStr">
        <is>
          <t>8</t>
        </is>
      </c>
      <c r="E10" t="inlineStr">
        <is>
          <t>D_A = D + A + JAJ⁻¹</t>
        </is>
      </c>
      <c r="F10" t="inlineStr">
        <is>
          <t>Inner fluctuations</t>
        </is>
      </c>
      <c r="G10" t="inlineStr">
        <is>
          <t>MASTER EQUATION MATRIX</t>
        </is>
      </c>
      <c r="H10" t="inlineStr">
        <is>
          <t>SOURCE-CODED; see closure/status layer</t>
        </is>
      </c>
      <c r="I10" t="inlineStr">
        <is>
          <t>Phase-1 (unchanged)</t>
        </is>
      </c>
    </row>
    <row r="11">
      <c r="A11" t="inlineStr">
        <is>
          <t>EQ-009</t>
        </is>
      </c>
      <c r="B11" t="inlineStr">
        <is>
          <t>NCG</t>
        </is>
      </c>
      <c r="C11" t="inlineStr">
        <is>
          <t>NCG</t>
        </is>
      </c>
      <c r="D11" t="inlineStr">
        <is>
          <t>9</t>
        </is>
      </c>
      <c r="E11" t="inlineStr">
        <is>
          <t>A = Σ_i a_i[D,b_i]</t>
        </is>
      </c>
      <c r="F11" t="inlineStr">
        <is>
          <t>Gauge potential</t>
        </is>
      </c>
      <c r="G11" t="inlineStr">
        <is>
          <t>MASTER EQUATION MATRIX</t>
        </is>
      </c>
      <c r="H11" t="inlineStr">
        <is>
          <t>SOURCE-CODED; see closure/status layer</t>
        </is>
      </c>
      <c r="I11" t="inlineStr">
        <is>
          <t>Phase-1 (unchanged)</t>
        </is>
      </c>
    </row>
    <row r="12">
      <c r="A12" t="inlineStr">
        <is>
          <t>EQ-010</t>
        </is>
      </c>
      <c r="B12" t="inlineStr">
        <is>
          <t>NCG</t>
        </is>
      </c>
      <c r="C12" t="inlineStr">
        <is>
          <t>NCG</t>
        </is>
      </c>
      <c r="D12" t="inlineStr">
        <is>
          <t>10</t>
        </is>
      </c>
      <c r="E12" t="inlineStr">
        <is>
          <t>S_B = Tr(f(D_A/Λ))</t>
        </is>
      </c>
      <c r="F12" t="inlineStr">
        <is>
          <t>Bosonic spectral action</t>
        </is>
      </c>
      <c r="G12" t="inlineStr">
        <is>
          <t>MASTER EQUATION MATRIX</t>
        </is>
      </c>
      <c r="H12" t="inlineStr">
        <is>
          <t>SOURCE-CODED; see closure/status layer</t>
        </is>
      </c>
      <c r="I12" t="inlineStr">
        <is>
          <t>Phase-1 (unchanged)</t>
        </is>
      </c>
    </row>
    <row r="13">
      <c r="A13" t="inlineStr">
        <is>
          <t>EQ-011</t>
        </is>
      </c>
      <c r="B13" t="inlineStr">
        <is>
          <t>NCG</t>
        </is>
      </c>
      <c r="C13" t="inlineStr">
        <is>
          <t>NCG</t>
        </is>
      </c>
      <c r="D13" t="inlineStr">
        <is>
          <t>11</t>
        </is>
      </c>
      <c r="E13" t="inlineStr">
        <is>
          <t>S_F = &lt;Jψ,D_Aψ&gt;</t>
        </is>
      </c>
      <c r="F13" t="inlineStr">
        <is>
          <t>Fermionic spectral action</t>
        </is>
      </c>
      <c r="G13" t="inlineStr">
        <is>
          <t>MASTER EQUATION MATRIX</t>
        </is>
      </c>
      <c r="H13" t="inlineStr">
        <is>
          <t>SOURCE-CODED; see closure/status layer</t>
        </is>
      </c>
      <c r="I13" t="inlineStr">
        <is>
          <t>Phase-1 (unchanged)</t>
        </is>
      </c>
    </row>
    <row r="14">
      <c r="A14" t="inlineStr">
        <is>
          <t>EQ-012</t>
        </is>
      </c>
      <c r="B14" t="inlineStr">
        <is>
          <t>NCG</t>
        </is>
      </c>
      <c r="C14" t="inlineStr">
        <is>
          <t>NCG</t>
        </is>
      </c>
      <c r="D14" t="inlineStr">
        <is>
          <t>12</t>
        </is>
      </c>
      <c r="E14" t="inlineStr">
        <is>
          <t>S = S_B + S_F</t>
        </is>
      </c>
      <c r="F14" t="inlineStr">
        <is>
          <t>Full action</t>
        </is>
      </c>
      <c r="G14" t="inlineStr">
        <is>
          <t>MASTER EQUATION MATRIX</t>
        </is>
      </c>
      <c r="H14" t="inlineStr">
        <is>
          <t>SOURCE-CODED; see closure/status layer</t>
        </is>
      </c>
      <c r="I14" t="inlineStr">
        <is>
          <t>Phase-1 (unchanged)</t>
        </is>
      </c>
    </row>
    <row r="15">
      <c r="A15" t="inlineStr">
        <is>
          <t>EQ-013</t>
        </is>
      </c>
      <c r="B15" t="inlineStr">
        <is>
          <t>NCG</t>
        </is>
      </c>
      <c r="C15" t="inlineStr">
        <is>
          <t>NCG</t>
        </is>
      </c>
      <c r="D15" t="inlineStr">
        <is>
          <t>13</t>
        </is>
      </c>
      <c r="E15" t="inlineStr">
        <is>
          <t>Tr(f(D/Λ)) ~ Σ_{n≥0} f_n Λ^{4-n} a_n(D²)</t>
        </is>
      </c>
      <c r="F15" t="inlineStr">
        <is>
          <t>Seeley-DeWitt expansion</t>
        </is>
      </c>
      <c r="G15" t="inlineStr">
        <is>
          <t>MASTER EQUATION MATRIX</t>
        </is>
      </c>
      <c r="H15" t="inlineStr">
        <is>
          <t>SOURCE-CODED; see closure/status layer</t>
        </is>
      </c>
      <c r="I15" t="inlineStr">
        <is>
          <t>Phase-1 (unchanged)</t>
        </is>
      </c>
    </row>
    <row r="16">
      <c r="A16" t="inlineStr">
        <is>
          <t>EQ-014</t>
        </is>
      </c>
      <c r="B16" t="inlineStr">
        <is>
          <t>NCG</t>
        </is>
      </c>
      <c r="C16" t="inlineStr">
        <is>
          <t>NCG</t>
        </is>
      </c>
      <c r="D16" t="inlineStr">
        <is>
          <t>14</t>
        </is>
      </c>
      <c r="E16" t="inlineStr">
        <is>
          <t>f_n = ∫_0^∞ f(v)v^{n-1}dv</t>
        </is>
      </c>
      <c r="F16" t="inlineStr">
        <is>
          <t>Moment definition</t>
        </is>
      </c>
      <c r="G16" t="inlineStr">
        <is>
          <t>MASTER EQUATION MATRIX</t>
        </is>
      </c>
      <c r="H16" t="inlineStr">
        <is>
          <t>SOURCE-CODED; see closure/status layer</t>
        </is>
      </c>
      <c r="I16" t="inlineStr">
        <is>
          <t>Phase-1 (unchanged)</t>
        </is>
      </c>
    </row>
    <row r="17">
      <c r="A17" t="inlineStr">
        <is>
          <t>EQ-015</t>
        </is>
      </c>
      <c r="B17" t="inlineStr">
        <is>
          <t>NCG</t>
        </is>
      </c>
      <c r="C17" t="inlineStr">
        <is>
          <t>NCG</t>
        </is>
      </c>
      <c r="D17" t="inlineStr">
        <is>
          <t>15</t>
        </is>
      </c>
      <c r="E17" t="inlineStr">
        <is>
          <t>a_0,a_2,a_4,a_6,...</t>
        </is>
      </c>
      <c r="F17" t="inlineStr">
        <is>
          <t>Heat-kernel coefficients</t>
        </is>
      </c>
      <c r="G17" t="inlineStr">
        <is>
          <t>MASTER EQUATION MATRIX</t>
        </is>
      </c>
      <c r="H17" t="inlineStr">
        <is>
          <t>SOURCE-CODED; see closure/status layer</t>
        </is>
      </c>
      <c r="I17" t="inlineStr">
        <is>
          <t>Phase-1 (unchanged)</t>
        </is>
      </c>
    </row>
    <row r="18">
      <c r="A18" t="inlineStr">
        <is>
          <t>EQ-016</t>
        </is>
      </c>
      <c r="B18" t="inlineStr">
        <is>
          <t>NCG</t>
        </is>
      </c>
      <c r="C18" t="inlineStr">
        <is>
          <t>NCG</t>
        </is>
      </c>
      <c r="D18" t="inlineStr">
        <is>
          <t>16</t>
        </is>
      </c>
      <c r="E18" t="inlineStr">
        <is>
          <t>Λ⁴a_0 + Λ²a_2 + a_4 + O(Λ⁻²)</t>
        </is>
      </c>
      <c r="F18" t="inlineStr">
        <is>
          <t>Expansion</t>
        </is>
      </c>
      <c r="G18" t="inlineStr">
        <is>
          <t>MASTER EQUATION MATRIX</t>
        </is>
      </c>
      <c r="H18" t="inlineStr">
        <is>
          <t>SOURCE-CODED; see closure/status layer</t>
        </is>
      </c>
      <c r="I18" t="inlineStr">
        <is>
          <t>Phase-1 (unchanged)</t>
        </is>
      </c>
    </row>
    <row r="19">
      <c r="A19" t="inlineStr">
        <is>
          <t>EQ-017</t>
        </is>
      </c>
      <c r="B19" t="inlineStr">
        <is>
          <t>NCG</t>
        </is>
      </c>
      <c r="C19" t="inlineStr">
        <is>
          <t>NCG</t>
        </is>
      </c>
      <c r="D19" t="inlineStr">
        <is>
          <t>17</t>
        </is>
      </c>
      <c r="E19" t="inlineStr">
        <is>
          <t>K(t)=Tr(exp(-tD²))</t>
        </is>
      </c>
      <c r="F19" t="inlineStr">
        <is>
          <t>Heat kernel</t>
        </is>
      </c>
      <c r="G19" t="inlineStr">
        <is>
          <t>MASTER EQUATION MATRIX</t>
        </is>
      </c>
      <c r="H19" t="inlineStr">
        <is>
          <t>SOURCE-CODED; see closure/status layer</t>
        </is>
      </c>
      <c r="I19" t="inlineStr">
        <is>
          <t>Phase-1 (unchanged)</t>
        </is>
      </c>
    </row>
    <row r="20">
      <c r="A20" t="inlineStr">
        <is>
          <t>EQ-018</t>
        </is>
      </c>
      <c r="B20" t="inlineStr">
        <is>
          <t>NCG</t>
        </is>
      </c>
      <c r="C20" t="inlineStr">
        <is>
          <t>NCG</t>
        </is>
      </c>
      <c r="D20" t="inlineStr">
        <is>
          <t>18</t>
        </is>
      </c>
      <c r="E20" t="inlineStr">
        <is>
          <t>ζ_D(s)=Tr(D^{-s})</t>
        </is>
      </c>
      <c r="F20" t="inlineStr">
        <is>
          <t>Zeta function</t>
        </is>
      </c>
      <c r="G20" t="inlineStr">
        <is>
          <t>MASTER EQUATION MATRIX</t>
        </is>
      </c>
      <c r="H20" t="inlineStr">
        <is>
          <t>SOURCE-CODED; see closure/status layer</t>
        </is>
      </c>
      <c r="I20" t="inlineStr">
        <is>
          <t>Phase-1 (unchanged)</t>
        </is>
      </c>
    </row>
    <row r="21">
      <c r="A21" t="inlineStr">
        <is>
          <t>EQ-019</t>
        </is>
      </c>
      <c r="B21" t="inlineStr">
        <is>
          <t>NCG</t>
        </is>
      </c>
      <c r="C21" t="inlineStr">
        <is>
          <t>NCG</t>
        </is>
      </c>
      <c r="D21" t="inlineStr">
        <is>
          <t>19</t>
        </is>
      </c>
      <c r="E21" t="inlineStr">
        <is>
          <t>S_ζ=ζ_D(0)</t>
        </is>
      </c>
      <c r="F21" t="inlineStr">
        <is>
          <t>Zeta action</t>
        </is>
      </c>
      <c r="G21" t="inlineStr">
        <is>
          <t>MASTER EQUATION MATRIX</t>
        </is>
      </c>
      <c r="H21" t="inlineStr">
        <is>
          <t>SOURCE-CODED; see closure/status layer</t>
        </is>
      </c>
      <c r="I21" t="inlineStr">
        <is>
          <t>Phase-1 (unchanged)</t>
        </is>
      </c>
    </row>
    <row r="22">
      <c r="A22" t="inlineStr">
        <is>
          <t>EQ-020</t>
        </is>
      </c>
      <c r="B22" t="inlineStr">
        <is>
          <t>NCG</t>
        </is>
      </c>
      <c r="C22" t="inlineStr">
        <is>
          <t>NCG</t>
        </is>
      </c>
      <c r="D22" t="inlineStr">
        <is>
          <t>20</t>
        </is>
      </c>
      <c r="E22" t="inlineStr">
        <is>
          <t>Index(D)=dim ker D - dim ker D†</t>
        </is>
      </c>
      <c r="F22" t="inlineStr">
        <is>
          <t>Atiyah-Singer index</t>
        </is>
      </c>
      <c r="G22" t="inlineStr">
        <is>
          <t>MASTER EQUATION MATRIX</t>
        </is>
      </c>
      <c r="H22" t="inlineStr">
        <is>
          <t>SOURCE-CODED; see closure/status layer</t>
        </is>
      </c>
      <c r="I22" t="inlineStr">
        <is>
          <t>Phase-1 (unchanged)</t>
        </is>
      </c>
    </row>
    <row r="23">
      <c r="A23" t="inlineStr">
        <is>
          <t>EQ-021</t>
        </is>
      </c>
      <c r="B23" t="inlineStr">
        <is>
          <t>NCG</t>
        </is>
      </c>
      <c r="C23" t="inlineStr">
        <is>
          <t>NCG</t>
        </is>
      </c>
      <c r="D23" t="inlineStr">
        <is>
          <t>21</t>
        </is>
      </c>
      <c r="E23" t="inlineStr">
        <is>
          <t>J²=±1</t>
        </is>
      </c>
      <c r="F23" t="inlineStr">
        <is>
          <t>Real structure</t>
        </is>
      </c>
      <c r="G23" t="inlineStr">
        <is>
          <t>MASTER EQUATION MATRIX</t>
        </is>
      </c>
      <c r="H23" t="inlineStr">
        <is>
          <t>SOURCE-CODED; see closure/status layer</t>
        </is>
      </c>
      <c r="I23" t="inlineStr">
        <is>
          <t>Phase-1 (unchanged)</t>
        </is>
      </c>
    </row>
    <row r="24">
      <c r="A24" t="inlineStr">
        <is>
          <t>EQ-022</t>
        </is>
      </c>
      <c r="B24" t="inlineStr">
        <is>
          <t>NCG</t>
        </is>
      </c>
      <c r="C24" t="inlineStr">
        <is>
          <t>NCG</t>
        </is>
      </c>
      <c r="D24" t="inlineStr">
        <is>
          <t>22</t>
        </is>
      </c>
      <c r="E24" t="inlineStr">
        <is>
          <t>JD=±DJ</t>
        </is>
      </c>
      <c r="F24" t="inlineStr">
        <is>
          <t>Real structure</t>
        </is>
      </c>
      <c r="G24" t="inlineStr">
        <is>
          <t>MASTER EQUATION MATRIX</t>
        </is>
      </c>
      <c r="H24" t="inlineStr">
        <is>
          <t>SOURCE-CODED; see closure/status layer</t>
        </is>
      </c>
      <c r="I24" t="inlineStr">
        <is>
          <t>Phase-1 (unchanged)</t>
        </is>
      </c>
    </row>
    <row r="25">
      <c r="A25" t="inlineStr">
        <is>
          <t>EQ-023</t>
        </is>
      </c>
      <c r="B25" t="inlineStr">
        <is>
          <t>NCG</t>
        </is>
      </c>
      <c r="C25" t="inlineStr">
        <is>
          <t>NCG</t>
        </is>
      </c>
      <c r="D25" t="inlineStr">
        <is>
          <t>23</t>
        </is>
      </c>
      <c r="E25" t="inlineStr">
        <is>
          <t>Jγ=±γJ</t>
        </is>
      </c>
      <c r="F25" t="inlineStr">
        <is>
          <t>Real structure</t>
        </is>
      </c>
      <c r="G25" t="inlineStr">
        <is>
          <t>MASTER EQUATION MATRIX</t>
        </is>
      </c>
      <c r="H25" t="inlineStr">
        <is>
          <t>SOURCE-CODED; see closure/status layer</t>
        </is>
      </c>
      <c r="I25" t="inlineStr">
        <is>
          <t>Phase-1 (unchanged)</t>
        </is>
      </c>
    </row>
    <row r="26">
      <c r="A26" t="inlineStr">
        <is>
          <t>EQ-024</t>
        </is>
      </c>
      <c r="B26" t="inlineStr">
        <is>
          <t>NCG</t>
        </is>
      </c>
      <c r="C26" t="inlineStr">
        <is>
          <t>NCG</t>
        </is>
      </c>
      <c r="D26" t="inlineStr">
        <is>
          <t>24</t>
        </is>
      </c>
      <c r="E26" t="inlineStr">
        <is>
          <t>γ²=1</t>
        </is>
      </c>
      <c r="F26" t="inlineStr">
        <is>
          <t>Chirality</t>
        </is>
      </c>
      <c r="G26" t="inlineStr">
        <is>
          <t>MASTER EQUATION MATRIX</t>
        </is>
      </c>
      <c r="H26" t="inlineStr">
        <is>
          <t>SOURCE-CODED; see closure/status layer</t>
        </is>
      </c>
      <c r="I26" t="inlineStr">
        <is>
          <t>Phase-1 (unchanged)</t>
        </is>
      </c>
    </row>
    <row r="27">
      <c r="A27" t="inlineStr">
        <is>
          <t>EQ-025</t>
        </is>
      </c>
      <c r="B27" t="inlineStr">
        <is>
          <t>NCG</t>
        </is>
      </c>
      <c r="C27" t="inlineStr">
        <is>
          <t>NCG</t>
        </is>
      </c>
      <c r="D27" t="inlineStr">
        <is>
          <t>25</t>
        </is>
      </c>
      <c r="E27" t="inlineStr">
        <is>
          <t>{γ,D}=0</t>
        </is>
      </c>
      <c r="F27" t="inlineStr">
        <is>
          <t>Chirality</t>
        </is>
      </c>
      <c r="G27" t="inlineStr">
        <is>
          <t>MASTER EQUATION MATRIX</t>
        </is>
      </c>
      <c r="H27" t="inlineStr">
        <is>
          <t>SOURCE-CODED; see closure/status layer</t>
        </is>
      </c>
      <c r="I27" t="inlineStr">
        <is>
          <t>Phase-1 (unchanged)</t>
        </is>
      </c>
    </row>
    <row r="28">
      <c r="A28" t="inlineStr">
        <is>
          <t>EQ-026</t>
        </is>
      </c>
      <c r="B28" t="inlineStr">
        <is>
          <t>NCG</t>
        </is>
      </c>
      <c r="C28" t="inlineStr">
        <is>
          <t>NCG</t>
        </is>
      </c>
      <c r="D28" t="inlineStr">
        <is>
          <t>26</t>
        </is>
      </c>
      <c r="E28" t="inlineStr">
        <is>
          <t>A=C∞(M) × (C + H + M₃(C))</t>
        </is>
      </c>
      <c r="F28" t="inlineStr">
        <is>
          <t>SM finite algebra</t>
        </is>
      </c>
      <c r="G28" t="inlineStr">
        <is>
          <t>MASTER EQUATION MATRIX</t>
        </is>
      </c>
      <c r="H28" t="inlineStr">
        <is>
          <t>SOURCE-CODED; see closure/status layer</t>
        </is>
      </c>
      <c r="I28" t="inlineStr">
        <is>
          <t>Phase-1 (unchanged)</t>
        </is>
      </c>
    </row>
    <row r="29">
      <c r="A29" t="inlineStr">
        <is>
          <t>EQ-027</t>
        </is>
      </c>
      <c r="B29" t="inlineStr">
        <is>
          <t>NCG</t>
        </is>
      </c>
      <c r="C29" t="inlineStr">
        <is>
          <t>NCG</t>
        </is>
      </c>
      <c r="D29" t="inlineStr">
        <is>
          <t>27</t>
        </is>
      </c>
      <c r="E29" t="inlineStr">
        <is>
          <t>SU(3) × SU(2) × U(1)</t>
        </is>
      </c>
      <c r="F29" t="inlineStr">
        <is>
          <t>Gauge group</t>
        </is>
      </c>
      <c r="G29" t="inlineStr">
        <is>
          <t>MASTER EQUATION MATRIX</t>
        </is>
      </c>
      <c r="H29" t="inlineStr">
        <is>
          <t>SOURCE-CODED; see closure/status layer</t>
        </is>
      </c>
      <c r="I29" t="inlineStr">
        <is>
          <t>Phase-1 (unchanged)</t>
        </is>
      </c>
    </row>
    <row r="30">
      <c r="A30" t="inlineStr">
        <is>
          <t>EQ-028</t>
        </is>
      </c>
      <c r="B30" t="inlineStr">
        <is>
          <t>NCG</t>
        </is>
      </c>
      <c r="C30" t="inlineStr">
        <is>
          <t>NCG</t>
        </is>
      </c>
      <c r="D30" t="inlineStr">
        <is>
          <t>28</t>
        </is>
      </c>
      <c r="E30" t="inlineStr">
        <is>
          <t>g₁=g₂=g₃</t>
        </is>
      </c>
      <c r="F30" t="inlineStr">
        <is>
          <t>Unification condition</t>
        </is>
      </c>
      <c r="G30" t="inlineStr">
        <is>
          <t>MASTER EQUATION MATRIX</t>
        </is>
      </c>
      <c r="H30" t="inlineStr">
        <is>
          <t>SOURCE-CODED; see closure/status layer</t>
        </is>
      </c>
      <c r="I30" t="inlineStr">
        <is>
          <t>Phase-1 (unchanged)</t>
        </is>
      </c>
    </row>
    <row r="31">
      <c r="A31" t="inlineStr">
        <is>
          <t>EQ-029</t>
        </is>
      </c>
      <c r="B31" t="inlineStr">
        <is>
          <t>NCG</t>
        </is>
      </c>
      <c r="C31" t="inlineStr">
        <is>
          <t>NCG</t>
        </is>
      </c>
      <c r="D31" t="inlineStr">
        <is>
          <t>29</t>
        </is>
      </c>
      <c r="E31" t="inlineStr">
        <is>
          <t>m_H ~ 125 GeV</t>
        </is>
      </c>
      <c r="F31" t="inlineStr">
        <is>
          <t>Higgs mass relation</t>
        </is>
      </c>
      <c r="G31" t="inlineStr">
        <is>
          <t>MASTER EQUATION MATRIX</t>
        </is>
      </c>
      <c r="H31" t="inlineStr">
        <is>
          <t>SOURCE-CODED; see closure/status layer</t>
        </is>
      </c>
      <c r="I31" t="inlineStr">
        <is>
          <t>Phase-1 (unchanged)</t>
        </is>
      </c>
    </row>
    <row r="32">
      <c r="A32" t="inlineStr">
        <is>
          <t>EQ-030</t>
        </is>
      </c>
      <c r="B32" t="inlineStr">
        <is>
          <t>NCG</t>
        </is>
      </c>
      <c r="C32" t="inlineStr">
        <is>
          <t>NCG</t>
        </is>
      </c>
      <c r="D32" t="inlineStr">
        <is>
          <t>30</t>
        </is>
      </c>
      <c r="E32" t="inlineStr">
        <is>
          <t>m_ν=m_Dᵀ M_R⁻¹ m_D</t>
        </is>
      </c>
      <c r="F32" t="inlineStr">
        <is>
          <t>Seesaw relation</t>
        </is>
      </c>
      <c r="G32" t="inlineStr">
        <is>
          <t>MASTER EQUATION MATRIX</t>
        </is>
      </c>
      <c r="H32" t="inlineStr">
        <is>
          <t>SOURCE-CODED; see closure/status layer</t>
        </is>
      </c>
      <c r="I32" t="inlineStr">
        <is>
          <t>Phase-1 (unchanged)</t>
        </is>
      </c>
    </row>
    <row r="33">
      <c r="A33" t="inlineStr">
        <is>
          <t>EQ-031</t>
        </is>
      </c>
      <c r="B33" t="inlineStr">
        <is>
          <t>NCG</t>
        </is>
      </c>
      <c r="C33" t="inlineStr">
        <is>
          <t>NCG</t>
        </is>
      </c>
      <c r="D33" t="inlineStr">
        <is>
          <t>31</t>
        </is>
      </c>
      <c r="E33" t="inlineStr">
        <is>
          <t>dist(x,y)=sup{|f(x)-f(y)|: ||[D,f]||≤1}</t>
        </is>
      </c>
      <c r="F33" t="inlineStr">
        <is>
          <t>Connes distance</t>
        </is>
      </c>
      <c r="G33" t="inlineStr">
        <is>
          <t>MASTER EQUATION MATRIX</t>
        </is>
      </c>
      <c r="H33" t="inlineStr">
        <is>
          <t>SOURCE-CODED; see closure/status layer</t>
        </is>
      </c>
      <c r="I33" t="inlineStr">
        <is>
          <t>Phase-1 (unchanged)</t>
        </is>
      </c>
    </row>
    <row r="34">
      <c r="A34" t="inlineStr">
        <is>
          <t>EQ-032</t>
        </is>
      </c>
      <c r="B34" t="inlineStr">
        <is>
          <t>NCG</t>
        </is>
      </c>
      <c r="C34" t="inlineStr">
        <is>
          <t>NCG</t>
        </is>
      </c>
      <c r="D34" t="inlineStr">
        <is>
          <t>32</t>
        </is>
      </c>
      <c r="E34" t="inlineStr">
        <is>
          <t>[D,a]</t>
        </is>
      </c>
      <c r="F34" t="inlineStr">
        <is>
          <t>Commutator</t>
        </is>
      </c>
      <c r="G34" t="inlineStr">
        <is>
          <t>MASTER EQUATION MATRIX</t>
        </is>
      </c>
      <c r="H34" t="inlineStr">
        <is>
          <t>SOURCE-CODED; see closure/status layer</t>
        </is>
      </c>
      <c r="I34" t="inlineStr">
        <is>
          <t>Phase-1 (unchanged)</t>
        </is>
      </c>
    </row>
    <row r="35">
      <c r="A35" t="inlineStr">
        <is>
          <t>EQ-033</t>
        </is>
      </c>
      <c r="B35" t="inlineStr">
        <is>
          <t>NCG</t>
        </is>
      </c>
      <c r="C35" t="inlineStr">
        <is>
          <t>NCG</t>
        </is>
      </c>
      <c r="D35" t="inlineStr">
        <is>
          <t>33</t>
        </is>
      </c>
      <c r="E35" t="inlineStr">
        <is>
          <t>[[D,a],b]=0</t>
        </is>
      </c>
      <c r="F35" t="inlineStr">
        <is>
          <t>Order-one condition</t>
        </is>
      </c>
      <c r="G35" t="inlineStr">
        <is>
          <t>MASTER EQUATION MATRIX</t>
        </is>
      </c>
      <c r="H35" t="inlineStr">
        <is>
          <t>SOURCE-CODED; see closure/status layer</t>
        </is>
      </c>
      <c r="I35" t="inlineStr">
        <is>
          <t>Phase-1 (unchanged)</t>
        </is>
      </c>
    </row>
    <row r="36">
      <c r="A36" t="inlineStr">
        <is>
          <t>EQ-034</t>
        </is>
      </c>
      <c r="B36" t="inlineStr">
        <is>
          <t>NCG</t>
        </is>
      </c>
      <c r="C36" t="inlineStr">
        <is>
          <t>NCG</t>
        </is>
      </c>
      <c r="D36" t="inlineStr">
        <is>
          <t>34</t>
        </is>
      </c>
      <c r="E36" t="inlineStr">
        <is>
          <t>[D,A]⊂B(H)</t>
        </is>
      </c>
      <c r="F36" t="inlineStr">
        <is>
          <t>Boundedness</t>
        </is>
      </c>
      <c r="G36" t="inlineStr">
        <is>
          <t>MASTER EQUATION MATRIX</t>
        </is>
      </c>
      <c r="H36" t="inlineStr">
        <is>
          <t>SOURCE-CODED; see closure/status layer</t>
        </is>
      </c>
      <c r="I36" t="inlineStr">
        <is>
          <t>Phase-1 (unchanged)</t>
        </is>
      </c>
    </row>
    <row r="37">
      <c r="A37" t="inlineStr">
        <is>
          <t>EQ-035</t>
        </is>
      </c>
      <c r="B37" t="inlineStr">
        <is>
          <t>NCG</t>
        </is>
      </c>
      <c r="C37" t="inlineStr">
        <is>
          <t>NCG</t>
        </is>
      </c>
      <c r="D37" t="inlineStr">
        <is>
          <t>35</t>
        </is>
      </c>
      <c r="E37" t="inlineStr">
        <is>
          <t>D⁻¹</t>
        </is>
      </c>
      <c r="F37" t="inlineStr">
        <is>
          <t>Propagator</t>
        </is>
      </c>
      <c r="G37" t="inlineStr">
        <is>
          <t>MASTER EQUATION MATRIX</t>
        </is>
      </c>
      <c r="H37" t="inlineStr">
        <is>
          <t>SOURCE-CODED; see closure/status layer</t>
        </is>
      </c>
      <c r="I37" t="inlineStr">
        <is>
          <t>Phase-1 (unchanged)</t>
        </is>
      </c>
    </row>
    <row r="38">
      <c r="A38" t="inlineStr">
        <is>
          <t>EQ-036</t>
        </is>
      </c>
      <c r="B38" t="inlineStr">
        <is>
          <t>NCG</t>
        </is>
      </c>
      <c r="C38" t="inlineStr">
        <is>
          <t>NCG</t>
        </is>
      </c>
      <c r="D38" t="inlineStr">
        <is>
          <t>36</t>
        </is>
      </c>
      <c r="E38" t="inlineStr">
        <is>
          <t>χ(D)=Tr(γ exp(-tD²))</t>
        </is>
      </c>
      <c r="F38" t="inlineStr">
        <is>
          <t>Chiral trace</t>
        </is>
      </c>
      <c r="G38" t="inlineStr">
        <is>
          <t>MASTER EQUATION MATRIX</t>
        </is>
      </c>
      <c r="H38" t="inlineStr">
        <is>
          <t>SOURCE-CODED; see closure/status layer</t>
        </is>
      </c>
      <c r="I38" t="inlineStr">
        <is>
          <t>Phase-1 (unchanged)</t>
        </is>
      </c>
    </row>
    <row r="39">
      <c r="A39" t="inlineStr">
        <is>
          <t>EQ-037</t>
        </is>
      </c>
      <c r="B39" t="inlineStr">
        <is>
          <t>SPEC</t>
        </is>
      </c>
      <c r="C39" t="inlineStr">
        <is>
          <t>Spectral Graph</t>
        </is>
      </c>
      <c r="D39" t="inlineStr">
        <is>
          <t>1</t>
        </is>
      </c>
      <c r="E39" t="inlineStr">
        <is>
          <t>G=(V,E)</t>
        </is>
      </c>
      <c r="F39" t="inlineStr">
        <is>
          <t>Graph</t>
        </is>
      </c>
      <c r="G39" t="inlineStr">
        <is>
          <t>MASTER EQUATION MATRIX</t>
        </is>
      </c>
      <c r="H39" t="inlineStr">
        <is>
          <t>SOURCE-CODED; see closure/status layer</t>
        </is>
      </c>
      <c r="I39" t="inlineStr">
        <is>
          <t>Phase-1 (unchanged)</t>
        </is>
      </c>
    </row>
    <row r="40">
      <c r="A40" t="inlineStr">
        <is>
          <t>EQ-038</t>
        </is>
      </c>
      <c r="B40" t="inlineStr">
        <is>
          <t>SPEC</t>
        </is>
      </c>
      <c r="C40" t="inlineStr">
        <is>
          <t>Spectral Graph</t>
        </is>
      </c>
      <c r="D40" t="inlineStr">
        <is>
          <t>2</t>
        </is>
      </c>
      <c r="E40" t="inlineStr">
        <is>
          <t>L=D_deg-A</t>
        </is>
      </c>
      <c r="F40" t="inlineStr">
        <is>
          <t>Graph Laplacian</t>
        </is>
      </c>
      <c r="G40" t="inlineStr">
        <is>
          <t>MASTER EQUATION MATRIX</t>
        </is>
      </c>
      <c r="H40" t="inlineStr">
        <is>
          <t>SOURCE-CODED; see closure/status layer</t>
        </is>
      </c>
      <c r="I40" t="inlineStr">
        <is>
          <t>Phase-1 (unchanged)</t>
        </is>
      </c>
    </row>
    <row r="41">
      <c r="A41" t="inlineStr">
        <is>
          <t>EQ-039</t>
        </is>
      </c>
      <c r="B41" t="inlineStr">
        <is>
          <t>SPEC</t>
        </is>
      </c>
      <c r="C41" t="inlineStr">
        <is>
          <t>Spectral Graph</t>
        </is>
      </c>
      <c r="D41" t="inlineStr">
        <is>
          <t>3</t>
        </is>
      </c>
      <c r="E41" t="inlineStr">
        <is>
          <t>Lφ=λφ</t>
        </is>
      </c>
      <c r="F41" t="inlineStr">
        <is>
          <t>Eigenvalue equation</t>
        </is>
      </c>
      <c r="G41" t="inlineStr">
        <is>
          <t>MASTER EQUATION MATRIX</t>
        </is>
      </c>
      <c r="H41" t="inlineStr">
        <is>
          <t>SOURCE-CODED; see closure/status layer</t>
        </is>
      </c>
      <c r="I41" t="inlineStr">
        <is>
          <t>Phase-1 (unchanged)</t>
        </is>
      </c>
    </row>
    <row r="42">
      <c r="A42" t="inlineStr">
        <is>
          <t>EQ-040</t>
        </is>
      </c>
      <c r="B42" t="inlineStr">
        <is>
          <t>SPEC</t>
        </is>
      </c>
      <c r="C42" t="inlineStr">
        <is>
          <t>Spectral Graph</t>
        </is>
      </c>
      <c r="D42" t="inlineStr">
        <is>
          <t>4</t>
        </is>
      </c>
      <c r="E42" t="inlineStr">
        <is>
          <t>Spec(L)={λ₁,λ₂,...,λ_n}</t>
        </is>
      </c>
      <c r="F42" t="inlineStr">
        <is>
          <t>Spectrum</t>
        </is>
      </c>
      <c r="G42" t="inlineStr">
        <is>
          <t>MASTER EQUATION MATRIX</t>
        </is>
      </c>
      <c r="H42" t="inlineStr">
        <is>
          <t>SOURCE-CODED; see closure/status layer</t>
        </is>
      </c>
      <c r="I42" t="inlineStr">
        <is>
          <t>Phase-1 (unchanged)</t>
        </is>
      </c>
    </row>
    <row r="43">
      <c r="A43" t="inlineStr">
        <is>
          <t>EQ-041</t>
        </is>
      </c>
      <c r="B43" t="inlineStr">
        <is>
          <t>SPEC</t>
        </is>
      </c>
      <c r="C43" t="inlineStr">
        <is>
          <t>Spectral Graph</t>
        </is>
      </c>
      <c r="D43" t="inlineStr">
        <is>
          <t>5</t>
        </is>
      </c>
      <c r="E43" t="inlineStr">
        <is>
          <t>λ₀=0</t>
        </is>
      </c>
      <c r="F43" t="inlineStr">
        <is>
          <t>Ground state</t>
        </is>
      </c>
      <c r="G43" t="inlineStr">
        <is>
          <t>MASTER EQUATION MATRIX</t>
        </is>
      </c>
      <c r="H43" t="inlineStr">
        <is>
          <t>SOURCE-CODED; see closure/status layer</t>
        </is>
      </c>
      <c r="I43" t="inlineStr">
        <is>
          <t>Phase-1 (unchanged)</t>
        </is>
      </c>
    </row>
    <row r="44">
      <c r="A44" t="inlineStr">
        <is>
          <t>EQ-042</t>
        </is>
      </c>
      <c r="B44" t="inlineStr">
        <is>
          <t>SPEC</t>
        </is>
      </c>
      <c r="C44" t="inlineStr">
        <is>
          <t>Spectral Graph</t>
        </is>
      </c>
      <c r="D44" t="inlineStr">
        <is>
          <t>6</t>
        </is>
      </c>
      <c r="E44" t="inlineStr">
        <is>
          <t>L1=0</t>
        </is>
      </c>
      <c r="F44" t="inlineStr">
        <is>
          <t>Kernel</t>
        </is>
      </c>
      <c r="G44" t="inlineStr">
        <is>
          <t>MASTER EQUATION MATRIX</t>
        </is>
      </c>
      <c r="H44" t="inlineStr">
        <is>
          <t>SOURCE-CODED; see closure/status layer</t>
        </is>
      </c>
      <c r="I44" t="inlineStr">
        <is>
          <t>Phase-1 (unchanged)</t>
        </is>
      </c>
    </row>
    <row r="45">
      <c r="A45" t="inlineStr">
        <is>
          <t>EQ-043</t>
        </is>
      </c>
      <c r="B45" t="inlineStr">
        <is>
          <t>SPEC</t>
        </is>
      </c>
      <c r="C45" t="inlineStr">
        <is>
          <t>Spectral Graph</t>
        </is>
      </c>
      <c r="D45" t="inlineStr">
        <is>
          <t>7</t>
        </is>
      </c>
      <c r="E45" t="inlineStr">
        <is>
          <t>Σ_i λ_i=Tr(L)</t>
        </is>
      </c>
      <c r="F45" t="inlineStr">
        <is>
          <t>Trace</t>
        </is>
      </c>
      <c r="G45" t="inlineStr">
        <is>
          <t>MASTER EQUATION MATRIX</t>
        </is>
      </c>
      <c r="H45" t="inlineStr">
        <is>
          <t>SOURCE-CODED; see closure/status layer</t>
        </is>
      </c>
      <c r="I45" t="inlineStr">
        <is>
          <t>Phase-1 (unchanged)</t>
        </is>
      </c>
    </row>
    <row r="46">
      <c r="A46" t="inlineStr">
        <is>
          <t>EQ-044</t>
        </is>
      </c>
      <c r="B46" t="inlineStr">
        <is>
          <t>SPEC</t>
        </is>
      </c>
      <c r="C46" t="inlineStr">
        <is>
          <t>Spectral Graph</t>
        </is>
      </c>
      <c r="D46" t="inlineStr">
        <is>
          <t>8</t>
        </is>
      </c>
      <c r="E46" t="inlineStr">
        <is>
          <t>φ_iᵀLφ_j=λ_iδ_ij</t>
        </is>
      </c>
      <c r="F46" t="inlineStr">
        <is>
          <t>Orthonormality</t>
        </is>
      </c>
      <c r="G46" t="inlineStr">
        <is>
          <t>MASTER EQUATION MATRIX</t>
        </is>
      </c>
      <c r="H46" t="inlineStr">
        <is>
          <t>SOURCE-CODED; see closure/status layer</t>
        </is>
      </c>
      <c r="I46" t="inlineStr">
        <is>
          <t>Phase-1 (unchanged)</t>
        </is>
      </c>
    </row>
    <row r="47">
      <c r="A47" t="inlineStr">
        <is>
          <t>EQ-045</t>
        </is>
      </c>
      <c r="B47" t="inlineStr">
        <is>
          <t>SPEC</t>
        </is>
      </c>
      <c r="C47" t="inlineStr">
        <is>
          <t>Spectral Graph</t>
        </is>
      </c>
      <c r="D47" t="inlineStr">
        <is>
          <t>9</t>
        </is>
      </c>
      <c r="E47" t="inlineStr">
        <is>
          <t>L=BBᵀ</t>
        </is>
      </c>
      <c r="F47" t="inlineStr">
        <is>
          <t>Incidence factorization</t>
        </is>
      </c>
      <c r="G47" t="inlineStr">
        <is>
          <t>MASTER EQUATION MATRIX</t>
        </is>
      </c>
      <c r="H47" t="inlineStr">
        <is>
          <t>SOURCE-CODED; see closure/status layer</t>
        </is>
      </c>
      <c r="I47" t="inlineStr">
        <is>
          <t>Phase-1 (unchanged)</t>
        </is>
      </c>
    </row>
    <row r="48">
      <c r="A48" t="inlineStr">
        <is>
          <t>EQ-046</t>
        </is>
      </c>
      <c r="B48" t="inlineStr">
        <is>
          <t>SPEC</t>
        </is>
      </c>
      <c r="C48" t="inlineStr">
        <is>
          <t>Spectral Graph</t>
        </is>
      </c>
      <c r="D48" t="inlineStr">
        <is>
          <t>10</t>
        </is>
      </c>
      <c r="E48" t="inlineStr">
        <is>
          <t>L=UΛU⁻¹</t>
        </is>
      </c>
      <c r="F48" t="inlineStr">
        <is>
          <t>Diagonalization</t>
        </is>
      </c>
      <c r="G48" t="inlineStr">
        <is>
          <t>MASTER EQUATION MATRIX</t>
        </is>
      </c>
      <c r="H48" t="inlineStr">
        <is>
          <t>SOURCE-CODED; see closure/status layer</t>
        </is>
      </c>
      <c r="I48" t="inlineStr">
        <is>
          <t>Phase-1 (unchanged)</t>
        </is>
      </c>
    </row>
    <row r="49">
      <c r="A49" t="inlineStr">
        <is>
          <t>EQ-047</t>
        </is>
      </c>
      <c r="B49" t="inlineStr">
        <is>
          <t>SPEC</t>
        </is>
      </c>
      <c r="C49" t="inlineStr">
        <is>
          <t>Spectral Graph</t>
        </is>
      </c>
      <c r="D49" t="inlineStr">
        <is>
          <t>11</t>
        </is>
      </c>
      <c r="E49" t="inlineStr">
        <is>
          <t>f(L)=Uf(Λ)U⁻¹</t>
        </is>
      </c>
      <c r="F49" t="inlineStr">
        <is>
          <t>Functional calculus</t>
        </is>
      </c>
      <c r="G49" t="inlineStr">
        <is>
          <t>MASTER EQUATION MATRIX</t>
        </is>
      </c>
      <c r="H49" t="inlineStr">
        <is>
          <t>SOURCE-CODED; see closure/status layer</t>
        </is>
      </c>
      <c r="I49" t="inlineStr">
        <is>
          <t>Phase-1 (unchanged)</t>
        </is>
      </c>
    </row>
    <row r="50">
      <c r="A50" t="inlineStr">
        <is>
          <t>EQ-048</t>
        </is>
      </c>
      <c r="B50" t="inlineStr">
        <is>
          <t>SPEC</t>
        </is>
      </c>
      <c r="C50" t="inlineStr">
        <is>
          <t>Spectral Graph</t>
        </is>
      </c>
      <c r="D50" t="inlineStr">
        <is>
          <t>12</t>
        </is>
      </c>
      <c r="E50" t="inlineStr">
        <is>
          <t>Tr(f(L))=Σ_i f(λ_i)</t>
        </is>
      </c>
      <c r="F50" t="inlineStr">
        <is>
          <t>Spectral trace</t>
        </is>
      </c>
      <c r="G50" t="inlineStr">
        <is>
          <t>MASTER EQUATION MATRIX</t>
        </is>
      </c>
      <c r="H50" t="inlineStr">
        <is>
          <t>SOURCE-CODED; see closure/status layer</t>
        </is>
      </c>
      <c r="I50" t="inlineStr">
        <is>
          <t>Phase-1 (unchanged)</t>
        </is>
      </c>
    </row>
    <row r="51">
      <c r="A51" t="inlineStr">
        <is>
          <t>EQ-049</t>
        </is>
      </c>
      <c r="B51" t="inlineStr">
        <is>
          <t>SPEC</t>
        </is>
      </c>
      <c r="C51" t="inlineStr">
        <is>
          <t>Spectral Graph</t>
        </is>
      </c>
      <c r="D51" t="inlineStr">
        <is>
          <t>13</t>
        </is>
      </c>
      <c r="E51" t="inlineStr">
        <is>
          <t>Tr(exp(-tL))</t>
        </is>
      </c>
      <c r="F51" t="inlineStr">
        <is>
          <t>Heat trace</t>
        </is>
      </c>
      <c r="G51" t="inlineStr">
        <is>
          <t>MASTER EQUATION MATRIX</t>
        </is>
      </c>
      <c r="H51" t="inlineStr">
        <is>
          <t>SOURCE-CODED; see closure/status layer</t>
        </is>
      </c>
      <c r="I51" t="inlineStr">
        <is>
          <t>Phase-1 (unchanged)</t>
        </is>
      </c>
    </row>
    <row r="52">
      <c r="A52" t="inlineStr">
        <is>
          <t>EQ-050</t>
        </is>
      </c>
      <c r="B52" t="inlineStr">
        <is>
          <t>SPEC</t>
        </is>
      </c>
      <c r="C52" t="inlineStr">
        <is>
          <t>Spectral Graph</t>
        </is>
      </c>
      <c r="D52" t="inlineStr">
        <is>
          <t>14</t>
        </is>
      </c>
      <c r="E52" t="inlineStr">
        <is>
          <t>exp(-tL)φ_i=exp(-tλ_i)φ_i</t>
        </is>
      </c>
      <c r="F52" t="inlineStr">
        <is>
          <t>Heat semigroup</t>
        </is>
      </c>
      <c r="G52" t="inlineStr">
        <is>
          <t>MASTER EQUATION MATRIX</t>
        </is>
      </c>
      <c r="H52" t="inlineStr">
        <is>
          <t>SOURCE-CODED; see closure/status layer</t>
        </is>
      </c>
      <c r="I52" t="inlineStr">
        <is>
          <t>Phase-1 (unchanged)</t>
        </is>
      </c>
    </row>
    <row r="53">
      <c r="A53" t="inlineStr">
        <is>
          <t>EQ-051</t>
        </is>
      </c>
      <c r="B53" t="inlineStr">
        <is>
          <t>SPEC</t>
        </is>
      </c>
      <c r="C53" t="inlineStr">
        <is>
          <t>Spectral Graph</t>
        </is>
      </c>
      <c r="D53" t="inlineStr">
        <is>
          <t>15</t>
        </is>
      </c>
      <c r="E53" t="inlineStr">
        <is>
          <t>det(L+εI)</t>
        </is>
      </c>
      <c r="F53" t="inlineStr">
        <is>
          <t>Regularized determinant</t>
        </is>
      </c>
      <c r="G53" t="inlineStr">
        <is>
          <t>MASTER EQUATION MATRIX</t>
        </is>
      </c>
      <c r="H53" t="inlineStr">
        <is>
          <t>SOURCE-CODED; see closure/status layer</t>
        </is>
      </c>
      <c r="I53" t="inlineStr">
        <is>
          <t>Phase-1 (unchanged)</t>
        </is>
      </c>
    </row>
    <row r="54">
      <c r="A54" t="inlineStr">
        <is>
          <t>EQ-052</t>
        </is>
      </c>
      <c r="B54" t="inlineStr">
        <is>
          <t>SPEC</t>
        </is>
      </c>
      <c r="C54" t="inlineStr">
        <is>
          <t>Spectral Graph</t>
        </is>
      </c>
      <c r="D54" t="inlineStr">
        <is>
          <t>16</t>
        </is>
      </c>
      <c r="E54" t="inlineStr">
        <is>
          <t>Δ=d†d+dd†</t>
        </is>
      </c>
      <c r="F54" t="inlineStr">
        <is>
          <t>Hodge Laplacian</t>
        </is>
      </c>
      <c r="G54" t="inlineStr">
        <is>
          <t>MASTER EQUATION MATRIX</t>
        </is>
      </c>
      <c r="H54" t="inlineStr">
        <is>
          <t>SOURCE-CODED; see closure/status layer</t>
        </is>
      </c>
      <c r="I54" t="inlineStr">
        <is>
          <t>Phase-1 (unchanged)</t>
        </is>
      </c>
    </row>
    <row r="55">
      <c r="A55" t="inlineStr">
        <is>
          <t>EQ-053</t>
        </is>
      </c>
      <c r="B55" t="inlineStr">
        <is>
          <t>SPEC</t>
        </is>
      </c>
      <c r="C55" t="inlineStr">
        <is>
          <t>Spectral Graph</t>
        </is>
      </c>
      <c r="D55" t="inlineStr">
        <is>
          <t>17</t>
        </is>
      </c>
      <c r="E55" t="inlineStr">
        <is>
          <t>D=d+δ</t>
        </is>
      </c>
      <c r="F55" t="inlineStr">
        <is>
          <t>Dirac-Hodge</t>
        </is>
      </c>
      <c r="G55" t="inlineStr">
        <is>
          <t>MASTER EQUATION MATRIX</t>
        </is>
      </c>
      <c r="H55" t="inlineStr">
        <is>
          <t>SOURCE-CODED; see closure/status layer</t>
        </is>
      </c>
      <c r="I55" t="inlineStr">
        <is>
          <t>Phase-1 (unchanged)</t>
        </is>
      </c>
    </row>
    <row r="56">
      <c r="A56" t="inlineStr">
        <is>
          <t>EQ-054</t>
        </is>
      </c>
      <c r="B56" t="inlineStr">
        <is>
          <t>SPEC</t>
        </is>
      </c>
      <c r="C56" t="inlineStr">
        <is>
          <t>Spectral Graph</t>
        </is>
      </c>
      <c r="D56" t="inlineStr">
        <is>
          <t>18</t>
        </is>
      </c>
      <c r="E56" t="inlineStr">
        <is>
          <t>d²=0</t>
        </is>
      </c>
      <c r="F56" t="inlineStr">
        <is>
          <t>Nilpotency</t>
        </is>
      </c>
      <c r="G56" t="inlineStr">
        <is>
          <t>MASTER EQUATION MATRIX</t>
        </is>
      </c>
      <c r="H56" t="inlineStr">
        <is>
          <t>SOURCE-CODED; see closure/status layer</t>
        </is>
      </c>
      <c r="I56" t="inlineStr">
        <is>
          <t>Phase-1 (unchanged)</t>
        </is>
      </c>
    </row>
    <row r="57">
      <c r="A57" t="inlineStr">
        <is>
          <t>EQ-055</t>
        </is>
      </c>
      <c r="B57" t="inlineStr">
        <is>
          <t>SPEC</t>
        </is>
      </c>
      <c r="C57" t="inlineStr">
        <is>
          <t>Spectral Graph</t>
        </is>
      </c>
      <c r="D57" t="inlineStr">
        <is>
          <t>19</t>
        </is>
      </c>
      <c r="E57" t="inlineStr">
        <is>
          <t>Ω^k(M)=Λ^k(T*M)</t>
        </is>
      </c>
      <c r="F57" t="inlineStr">
        <is>
          <t>k-forms</t>
        </is>
      </c>
      <c r="G57" t="inlineStr">
        <is>
          <t>MASTER EQUATION MATRIX</t>
        </is>
      </c>
      <c r="H57" t="inlineStr">
        <is>
          <t>SOURCE-CODED; see closure/status layer</t>
        </is>
      </c>
      <c r="I57" t="inlineStr">
        <is>
          <t>Phase-1 (unchanged)</t>
        </is>
      </c>
    </row>
    <row r="58">
      <c r="A58" t="inlineStr">
        <is>
          <t>EQ-056</t>
        </is>
      </c>
      <c r="B58" t="inlineStr">
        <is>
          <t>SPEC</t>
        </is>
      </c>
      <c r="C58" t="inlineStr">
        <is>
          <t>Spectral Graph</t>
        </is>
      </c>
      <c r="D58" t="inlineStr">
        <is>
          <t>20</t>
        </is>
      </c>
      <c r="E58" t="inlineStr">
        <is>
          <t>H^k(M)=ker d / im d</t>
        </is>
      </c>
      <c r="F58" t="inlineStr">
        <is>
          <t>de Rham cohomology</t>
        </is>
      </c>
      <c r="G58" t="inlineStr">
        <is>
          <t>MASTER EQUATION MATRIX</t>
        </is>
      </c>
      <c r="H58" t="inlineStr">
        <is>
          <t>SOURCE-CODED; see closure/status layer</t>
        </is>
      </c>
      <c r="I58" t="inlineStr">
        <is>
          <t>Phase-1 (unchanged)</t>
        </is>
      </c>
    </row>
    <row r="59">
      <c r="A59" t="inlineStr">
        <is>
          <t>EQ-057</t>
        </is>
      </c>
      <c r="B59" t="inlineStr">
        <is>
          <t>SPEC</t>
        </is>
      </c>
      <c r="C59" t="inlineStr">
        <is>
          <t>Spectral Graph</t>
        </is>
      </c>
      <c r="D59" t="inlineStr">
        <is>
          <t>21</t>
        </is>
      </c>
      <c r="E59" t="inlineStr">
        <is>
          <t>Ω^k=H^k+im(d)+im(δ)</t>
        </is>
      </c>
      <c r="F59" t="inlineStr">
        <is>
          <t>Hodge decomposition</t>
        </is>
      </c>
      <c r="G59" t="inlineStr">
        <is>
          <t>MASTER EQUATION MATRIX</t>
        </is>
      </c>
      <c r="H59" t="inlineStr">
        <is>
          <t>SOURCE-CODED; see closure/status layer</t>
        </is>
      </c>
      <c r="I59" t="inlineStr">
        <is>
          <t>Phase-1 (unchanged)</t>
        </is>
      </c>
    </row>
    <row r="60">
      <c r="A60" t="inlineStr">
        <is>
          <t>EQ-058</t>
        </is>
      </c>
      <c r="B60" t="inlineStr">
        <is>
          <t>SPEC</t>
        </is>
      </c>
      <c r="C60" t="inlineStr">
        <is>
          <t>Spectral Graph</t>
        </is>
      </c>
      <c r="D60" t="inlineStr">
        <is>
          <t>22</t>
        </is>
      </c>
      <c r="E60" t="inlineStr">
        <is>
          <t>Spec(Δ)={μ_i}</t>
        </is>
      </c>
      <c r="F60" t="inlineStr">
        <is>
          <t>Hodge spectrum</t>
        </is>
      </c>
      <c r="G60" t="inlineStr">
        <is>
          <t>MASTER EQUATION MATRIX</t>
        </is>
      </c>
      <c r="H60" t="inlineStr">
        <is>
          <t>SOURCE-CODED; see closure/status layer</t>
        </is>
      </c>
      <c r="I60" t="inlineStr">
        <is>
          <t>Phase-1 (unchanged)</t>
        </is>
      </c>
    </row>
    <row r="61">
      <c r="A61" t="inlineStr">
        <is>
          <t>EQ-059</t>
        </is>
      </c>
      <c r="B61" t="inlineStr">
        <is>
          <t>SPEC</t>
        </is>
      </c>
      <c r="C61" t="inlineStr">
        <is>
          <t>Spectral Graph</t>
        </is>
      </c>
      <c r="D61" t="inlineStr">
        <is>
          <t>23</t>
        </is>
      </c>
      <c r="E61" t="inlineStr">
        <is>
          <t>Tr(exp(-tΔ))</t>
        </is>
      </c>
      <c r="F61" t="inlineStr">
        <is>
          <t>Hodge heat trace</t>
        </is>
      </c>
      <c r="G61" t="inlineStr">
        <is>
          <t>MASTER EQUATION MATRIX</t>
        </is>
      </c>
      <c r="H61" t="inlineStr">
        <is>
          <t>SOURCE-CODED; see closure/status layer</t>
        </is>
      </c>
      <c r="I61" t="inlineStr">
        <is>
          <t>Phase-1 (unchanged)</t>
        </is>
      </c>
    </row>
    <row r="62">
      <c r="A62" t="inlineStr">
        <is>
          <t>...</t>
        </is>
      </c>
      <c r="B62" t="inlineStr">
        <is>
          <t>truncated -- see registries/equation_registry_vNEXT.csv for all</t>
        </is>
      </c>
      <c r="C62" t="inlineStr"/>
      <c r="D62" t="inlineStr"/>
      <c r="E62" t="inlineStr"/>
      <c r="F62" t="inlineStr"/>
      <c r="G62" t="inlineStr"/>
      <c r="H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Finding</t>
        </is>
      </c>
      <c r="B1" s="1" t="inlineStr">
        <is>
          <t>Detail</t>
        </is>
      </c>
    </row>
    <row r="2">
      <c r="A2" t="inlineStr">
        <is>
          <t>New executed calculations found</t>
        </is>
      </c>
      <c r="B2" t="inlineStr">
        <is>
          <t>0 (see NEWLY_DISCOVERED_CALCULATIONS.md for full search record)</t>
        </is>
      </c>
    </row>
    <row r="3">
      <c r="A3" t="inlineStr">
        <is>
          <t>Reproducible arithmetic verified</t>
        </is>
      </c>
      <c r="B3" t="inlineStr">
        <is>
          <t>Xi_UOC^4 = (6.50e-31)^4 = 1.7850625e-121 -- exact match to SOURCE-010's own AUD-012 claim, and consistent with existing PRED-004 in registries/MASTER_PREDICTIONS.csv</t>
        </is>
      </c>
    </row>
    <row r="4">
      <c r="A4" t="inlineStr">
        <is>
          <t>COSMO-BRIDGE-003/004/005 (K4, K3,3)</t>
        </is>
      </c>
      <c r="B4" t="inlineStr">
        <is>
          <t>Not re-verified this phase (already verified in the PRF-PRIM execution, see results/C0_PRF_PRIM_REPORT.md) -- not re-run, per governance rule against redundant recomputation</t>
        </is>
      </c>
    </row>
    <row r="5">
      <c r="A5" t="inlineStr">
        <is>
          <t>New simulation SPECIFICATIONS found (not executed)</t>
        </is>
      </c>
      <c r="B5" t="inlineStr">
        <is>
          <t>21 (10_OPEN_SIMULATIONS, SIM-O-001..~019) -- registered as SIMULATION_TARGET nodes in MASTER_DAG_vNEXT_nodes.csv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</cols>
  <sheetData>
    <row r="1">
      <c r="A1" s="1">
        <f>== MASTER_STATUS_SYSTEM.csv (Phase 1, unchanged) ===</f>
        <v/>
      </c>
    </row>
    <row r="2">
      <c r="A2" t="inlineStr">
        <is>
          <t>ID</t>
        </is>
      </c>
      <c r="B2" t="inlineStr">
        <is>
          <t>Field</t>
        </is>
      </c>
      <c r="C2" t="inlineStr">
        <is>
          <t>Meaning</t>
        </is>
      </c>
      <c r="D2" t="inlineStr">
        <is>
          <t>Allowed / Rule</t>
        </is>
      </c>
    </row>
    <row r="3">
      <c r="A3" t="inlineStr">
        <is>
          <t>S_D</t>
        </is>
      </c>
      <c r="B3" t="inlineStr">
        <is>
          <t>Derivation Status</t>
        </is>
      </c>
      <c r="C3" t="inlineStr">
        <is>
          <t>What has actually been mathematically calculated/proven?</t>
        </is>
      </c>
      <c r="D3" t="inlineStr">
        <is>
          <t>CERTIFIED / DERIVED / CALCULATED / ALGEBRAICALLY DERIVED / CONDITIONAL / FORMULATED / NO-GO / etc.</t>
        </is>
      </c>
    </row>
    <row r="4">
      <c r="A4" t="inlineStr">
        <is>
          <t>S_C</t>
        </is>
      </c>
      <c r="B4" t="inlineStr">
        <is>
          <t>Closure Status</t>
        </is>
      </c>
      <c r="C4" t="inlineStr">
        <is>
          <t>How universal/canonical is the result?</t>
        </is>
      </c>
      <c r="D4" t="inlineStr">
        <is>
          <t>CLOSED / SCOPED / CONDITIONAL / OPEN / RECONCILIATION OPEN</t>
        </is>
      </c>
    </row>
    <row r="5">
      <c r="A5" t="inlineStr">
        <is>
          <t>S_R</t>
        </is>
      </c>
      <c r="B5" t="inlineStr">
        <is>
          <t>Registry Status</t>
        </is>
      </c>
      <c r="C5" t="inlineStr">
        <is>
          <t>Is the object certified, open, candidate or newly proposed?</t>
        </is>
      </c>
      <c r="D5" t="inlineStr">
        <is>
          <t>CERTIFIED / OPEN / CANDIDATE / PROPOSED / FALSIFIED</t>
        </is>
      </c>
    </row>
    <row r="6">
      <c r="A6" t="inlineStr">
        <is>
          <t>RULE-001</t>
        </is>
      </c>
      <c r="B6" t="inlineStr">
        <is>
          <t>Governance rule</t>
        </is>
      </c>
      <c r="C6" t="inlineStr">
        <is>
          <t>Never erase an executed calculation because its upstream ancestry remains unresolved.</t>
        </is>
      </c>
      <c r="D6" t="inlineStr">
        <is>
          <t>ACTIVE</t>
        </is>
      </c>
    </row>
    <row r="7">
      <c r="A7" t="inlineStr">
        <is>
          <t>RULE-002</t>
        </is>
      </c>
      <c r="B7" t="inlineStr">
        <is>
          <t>Governance rule</t>
        </is>
      </c>
      <c r="C7" t="inlineStr">
        <is>
          <t>New calculations receive PROPOSED status until executed and registered.</t>
        </is>
      </c>
      <c r="D7" t="inlineStr">
        <is>
          <t>ACTIVE</t>
        </is>
      </c>
    </row>
    <row r="8">
      <c r="A8" t="inlineStr">
        <is>
          <t>RULE-003</t>
        </is>
      </c>
      <c r="B8" t="inlineStr">
        <is>
          <t>Governance rule</t>
        </is>
      </c>
      <c r="C8" t="inlineStr">
        <is>
          <t>Scope must be explicit for finite graph, continuum, asymptotic, homogeneous, curved, boundary, etc.</t>
        </is>
      </c>
      <c r="D8" t="inlineStr">
        <is>
          <t>ACTIVE</t>
        </is>
      </c>
    </row>
    <row r="9">
      <c r="A9" t="inlineStr">
        <is>
          <t>RULE-004</t>
        </is>
      </c>
      <c r="B9" t="inlineStr">
        <is>
          <t>Observational firewall</t>
        </is>
      </c>
      <c r="C9" t="inlineStr">
        <is>
          <t>Λ_obs,H_obs,N_H^obs may not occur in ancestors of Xi_UOC.</t>
        </is>
      </c>
      <c r="D9" t="inlineStr">
        <is>
          <t>ACTIVE</t>
        </is>
      </c>
    </row>
    <row r="11">
      <c r="A11">
        <f>== MASTER_STATUS_SEMANTICS_CANONICAL.csv (Phase 1, unchanged) ===</f>
        <v/>
      </c>
    </row>
    <row r="12">
      <c r="A12" t="inlineStr">
        <is>
          <t>Status</t>
        </is>
      </c>
      <c r="B12" t="inlineStr">
        <is>
          <t>Definition</t>
        </is>
      </c>
      <c r="C12" t="inlineStr">
        <is>
          <t>Permitted_Use</t>
        </is>
      </c>
      <c r="D12" t="inlineStr">
        <is>
          <t>Governance_Rule</t>
        </is>
      </c>
    </row>
    <row r="13">
      <c r="A13" t="inlineStr">
        <is>
          <t>CERTIFIED</t>
        </is>
      </c>
      <c r="B13" t="inlineStr">
        <is>
          <t>Formally established and admitted</t>
        </is>
      </c>
      <c r="C13" t="inlineStr">
        <is>
          <t>Canonical dependency</t>
        </is>
      </c>
      <c r="D13" t="inlineStr">
        <is>
          <t>No universality inflation</t>
        </is>
      </c>
    </row>
    <row r="14">
      <c r="A14" t="inlineStr">
        <is>
          <t>CALCULATED</t>
        </is>
      </c>
      <c r="B14" t="inlineStr">
        <is>
          <t>Executed numerical/algebraic result</t>
        </is>
      </c>
      <c r="C14" t="inlineStr">
        <is>
          <t>Usable within recorded scope</t>
        </is>
      </c>
      <c r="D14" t="inlineStr">
        <is>
          <t>Do not relabel OPEN because ancestry is unresolved</t>
        </is>
      </c>
    </row>
    <row r="15">
      <c r="A15" t="inlineStr">
        <is>
          <t>PARTIAL/CONDITIONAL</t>
        </is>
      </c>
      <c r="B15" t="inlineStr">
        <is>
          <t>Established under explicit assumptions/family</t>
        </is>
      </c>
      <c r="C15" t="inlineStr">
        <is>
          <t>Usable only with scope</t>
        </is>
      </c>
      <c r="D15" t="inlineStr">
        <is>
          <t>Expose assumptions</t>
        </is>
      </c>
    </row>
    <row r="16">
      <c r="A16" t="inlineStr">
        <is>
          <t>OPEN THEOREM</t>
        </is>
      </c>
      <c r="B16" t="inlineStr">
        <is>
          <t>Specific proof obligation remains</t>
        </is>
      </c>
      <c r="C16" t="inlineStr">
        <is>
          <t>Not certified</t>
        </is>
      </c>
      <c r="D16" t="inlineStr">
        <is>
          <t>Record closure criterion and falsifier</t>
        </is>
      </c>
    </row>
    <row r="17">
      <c r="A17" t="inlineStr">
        <is>
          <t>PROPOSED</t>
        </is>
      </c>
      <c r="B17" t="inlineStr">
        <is>
          <t>Future calculation/program not executed</t>
        </is>
      </c>
      <c r="C17" t="inlineStr">
        <is>
          <t>Planning only</t>
        </is>
      </c>
      <c r="D17" t="inlineStr">
        <is>
          <t>No registry admission by implication</t>
        </is>
      </c>
    </row>
    <row r="18">
      <c r="A18" t="inlineStr">
        <is>
          <t>FALSIFIED/NO-GO</t>
        </is>
      </c>
      <c r="B18" t="inlineStr">
        <is>
          <t>Candidate failed specified test</t>
        </is>
      </c>
      <c r="C18" t="inlineStr">
        <is>
          <t>Exclude from active route; retain history</t>
        </is>
      </c>
      <c r="D18" t="inlineStr">
        <is>
          <t>Preserve failure provenance</t>
        </is>
      </c>
    </row>
    <row r="19">
      <c r="A19" t="inlineStr">
        <is>
          <t>SOURCE-REGISTERED</t>
        </is>
      </c>
      <c r="B19" t="inlineStr">
        <is>
          <t>Present in source corpus, status not adjudicated</t>
        </is>
      </c>
      <c r="C19" t="inlineStr">
        <is>
          <t>Reference only</t>
        </is>
      </c>
      <c r="D19" t="inlineStr">
        <is>
          <t>Must receive status-layer classification</t>
        </is>
      </c>
    </row>
    <row r="21">
      <c r="A21">
        <f>== Phase 1.5 additions (SOURCE-010 status vocabulary cross-check) ===</f>
        <v/>
      </c>
    </row>
    <row r="22">
      <c r="A22" t="inlineStr">
        <is>
          <t>Finding</t>
        </is>
      </c>
      <c r="B22" t="inlineStr">
        <is>
          <t>Detail</t>
        </is>
      </c>
    </row>
    <row r="23">
      <c r="A23" t="inlineStr">
        <is>
          <t>Vocabulary consistency</t>
        </is>
      </c>
      <c r="B23" t="inlineStr">
        <is>
          <t>SOURCE-010 uses OPEN THEOREM, CERTIFIED SPINE, Partial/Open, CONDITIONAL, PROPOSED, no-go -- all consistent with the existing status ontology; no new status word introduced.</t>
        </is>
      </c>
    </row>
    <row r="24">
      <c r="A24" t="inlineStr">
        <is>
          <t>ARBS canonicity dispute</t>
        </is>
      </c>
      <c r="B24" t="inlineStr">
        <is>
          <t>SOURCE-010 asserts ARBS is "LEGACY ONLY... not canonical" against 8 CERTIFIED ARBS theorems in MASTER_THEOREM_REGISTRY.csv. See CONFLICTS_AND_VERSION_RESOLUTION.md CONFLICT-001. NOT applied to any registry status in this phase.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23.4" customWidth="1" min="3" max="3"/>
    <col width="16.2" customWidth="1" min="4" max="4"/>
  </cols>
  <sheetData>
    <row r="1">
      <c r="A1" s="1" t="inlineStr">
        <is>
          <t>Entry ID</t>
        </is>
      </c>
      <c r="B1" s="1" t="inlineStr">
        <is>
          <t>Statement (abbreviated)</t>
        </is>
      </c>
      <c r="C1" s="1" t="inlineStr">
        <is>
          <t>Direct Predecessors</t>
        </is>
      </c>
      <c r="D1" s="1" t="inlineStr">
        <is>
          <t>Status</t>
        </is>
      </c>
    </row>
    <row r="2">
      <c r="A2" t="inlineStr">
        <is>
          <t>PRIM-G-001</t>
        </is>
      </c>
      <c r="B2" t="inlineStr">
        <is>
          <t>Delta (Distinction)</t>
        </is>
      </c>
      <c r="C2" t="inlineStr">
        <is>
          <t>None</t>
        </is>
      </c>
      <c r="D2" t="inlineStr">
        <is>
          <t>CERTIFIED</t>
        </is>
      </c>
    </row>
    <row r="3">
      <c r="A3" t="inlineStr">
        <is>
          <t>PRIM-G-002</t>
        </is>
      </c>
      <c r="B3" t="inlineStr">
        <is>
          <t>tau (Transformation)</t>
        </is>
      </c>
      <c r="C3" t="inlineStr">
        <is>
          <t>None</t>
        </is>
      </c>
      <c r="D3" t="inlineStr">
        <is>
          <t>CERTIFIED</t>
        </is>
      </c>
    </row>
    <row r="4">
      <c r="A4" t="inlineStr">
        <is>
          <t>PRIM-G-003</t>
        </is>
      </c>
      <c r="B4" t="inlineStr">
        <is>
          <t>kappa (Constraint)</t>
        </is>
      </c>
      <c r="C4" t="inlineStr">
        <is>
          <t>None</t>
        </is>
      </c>
      <c r="D4" t="inlineStr">
        <is>
          <t>CERTIFIED</t>
        </is>
      </c>
    </row>
    <row r="5">
      <c r="A5" t="inlineStr">
        <is>
          <t>PRIM-G-004</t>
        </is>
      </c>
      <c r="B5" t="inlineStr">
        <is>
          <t>Pi (Persistence)</t>
        </is>
      </c>
      <c r="C5" t="inlineStr">
        <is>
          <t>None</t>
        </is>
      </c>
      <c r="D5" t="inlineStr">
        <is>
          <t>CERTIFIED</t>
        </is>
      </c>
    </row>
    <row r="6">
      <c r="A6" t="inlineStr">
        <is>
          <t>PRIM-P-001</t>
        </is>
      </c>
      <c r="B6" t="inlineStr">
        <is>
          <t>E (Energy)</t>
        </is>
      </c>
      <c r="C6" t="inlineStr">
        <is>
          <t>None</t>
        </is>
      </c>
      <c r="D6" t="inlineStr">
        <is>
          <t>CERTIFIED</t>
        </is>
      </c>
    </row>
    <row r="7">
      <c r="A7" t="inlineStr">
        <is>
          <t>PRIM-C-001</t>
        </is>
      </c>
      <c r="B7" t="inlineStr">
        <is>
          <t>B=(U,V,E) (Bipartite substrate)</t>
        </is>
      </c>
      <c r="C7" t="inlineStr">
        <is>
          <t>None</t>
        </is>
      </c>
      <c r="D7" t="inlineStr">
        <is>
          <t>CERTIFIED</t>
        </is>
      </c>
    </row>
    <row r="8">
      <c r="A8" t="inlineStr">
        <is>
          <t>AX-SDR-001..005</t>
        </is>
      </c>
      <c r="B8" t="inlineStr">
        <is>
          <t>Strict Dependency Relation axioms</t>
        </is>
      </c>
      <c r="C8" t="inlineStr">
        <is>
          <t>None</t>
        </is>
      </c>
      <c r="D8" t="inlineStr">
        <is>
          <t>CERTIFIED</t>
        </is>
      </c>
    </row>
    <row r="9">
      <c r="A9" t="inlineStr">
        <is>
          <t>DER-ORG-001</t>
        </is>
      </c>
      <c r="B9" t="inlineStr">
        <is>
          <t>Grammar G = {D,T,C}</t>
        </is>
      </c>
      <c r="C9" t="inlineStr">
        <is>
          <t>PRIM-G-001,002,003</t>
        </is>
      </c>
      <c r="D9" t="inlineStr">
        <is>
          <t>CERTIFIED</t>
        </is>
      </c>
    </row>
    <row r="10">
      <c r="A10" t="inlineStr">
        <is>
          <t>DER-ORG-002</t>
        </is>
      </c>
      <c r="B10" t="inlineStr">
        <is>
          <t>State evolution Psi_{t+1}=C(T(D Psi_t))</t>
        </is>
      </c>
      <c r="C10" t="inlineStr">
        <is>
          <t>ORG-001</t>
        </is>
      </c>
      <c r="D10" t="inlineStr">
        <is>
          <t>CERTIFIED</t>
        </is>
      </c>
    </row>
    <row r="11">
      <c r="A11" t="inlineStr">
        <is>
          <t>DER-ORG-003</t>
        </is>
      </c>
      <c r="B11" t="inlineStr">
        <is>
          <t>Persistence fixed point</t>
        </is>
      </c>
      <c r="C11" t="inlineStr">
        <is>
          <t>ORG-002</t>
        </is>
      </c>
      <c r="D11" t="inlineStr">
        <is>
          <t>CERTIFIED</t>
        </is>
      </c>
    </row>
    <row r="12">
      <c r="A12" t="inlineStr">
        <is>
          <t>DER-ORG-004</t>
        </is>
      </c>
      <c r="B12" t="inlineStr">
        <is>
          <t>Recursive generativity Pi=&gt;Delta'</t>
        </is>
      </c>
      <c r="C12" t="inlineStr">
        <is>
          <t>ORG-003</t>
        </is>
      </c>
      <c r="D12" t="inlineStr">
        <is>
          <t>CERTIFIED</t>
        </is>
      </c>
    </row>
    <row r="13">
      <c r="A13" t="inlineStr">
        <is>
          <t>DER-ORG-005</t>
        </is>
      </c>
      <c r="B13" t="inlineStr">
        <is>
          <t>Compiler interface</t>
        </is>
      </c>
      <c r="C13" t="inlineStr">
        <is>
          <t>ORG-001, SPC-001</t>
        </is>
      </c>
      <c r="D13" t="inlineStr">
        <is>
          <t>CERTIFIED</t>
        </is>
      </c>
    </row>
    <row r="14">
      <c r="A14" t="inlineStr">
        <is>
          <t>DER-ORG-006</t>
        </is>
      </c>
      <c r="B14" t="inlineStr">
        <is>
          <t>Fixed-point equivalence theorem</t>
        </is>
      </c>
      <c r="C14" t="inlineStr">
        <is>
          <t>ORG-003, SPC-005</t>
        </is>
      </c>
      <c r="D14" t="inlineStr">
        <is>
          <t>OPEN</t>
        </is>
      </c>
    </row>
    <row r="15">
      <c r="A15" t="inlineStr">
        <is>
          <t>DER-ORG-007</t>
        </is>
      </c>
      <c r="B15" t="inlineStr">
        <is>
          <t>Pi_O recovery (org. side)</t>
        </is>
      </c>
      <c r="C15" t="inlineStr">
        <is>
          <t>ORG-003, TRC-002</t>
        </is>
      </c>
      <c r="D15" t="inlineStr">
        <is>
          <t>OPEN</t>
        </is>
      </c>
    </row>
    <row r="16">
      <c r="A16" t="inlineStr">
        <is>
          <t>DER-ORG-008</t>
        </is>
      </c>
      <c r="B16" t="inlineStr">
        <is>
          <t>Attractor uniqueness</t>
        </is>
      </c>
      <c r="C16" t="inlineStr">
        <is>
          <t>ORG-003</t>
        </is>
      </c>
      <c r="D16" t="inlineStr">
        <is>
          <t>OPEN</t>
        </is>
      </c>
    </row>
    <row r="17">
      <c r="A17" t="inlineStr">
        <is>
          <t>DER-ORG-009</t>
        </is>
      </c>
      <c r="B17" t="inlineStr">
        <is>
          <t>Compiler completeness</t>
        </is>
      </c>
      <c r="C17" t="inlineStr">
        <is>
          <t>ORG-005</t>
        </is>
      </c>
      <c r="D17" t="inlineStr">
        <is>
          <t>OPEN</t>
        </is>
      </c>
    </row>
    <row r="18">
      <c r="A18" t="inlineStr">
        <is>
          <t>DER-ORG-010</t>
        </is>
      </c>
      <c r="B18" t="inlineStr">
        <is>
          <t>Dependency completeness</t>
        </is>
      </c>
      <c r="C18" t="inlineStr">
        <is>
          <t>SDR-005, ORG-009</t>
        </is>
      </c>
      <c r="D18" t="inlineStr">
        <is>
          <t>OPEN</t>
        </is>
      </c>
    </row>
    <row r="19">
      <c r="A19" t="inlineStr">
        <is>
          <t>DER-SPC-001</t>
        </is>
      </c>
      <c r="B19" t="inlineStr">
        <is>
          <t>Graph G=(V,E)</t>
        </is>
      </c>
      <c r="C19" t="inlineStr">
        <is>
          <t>ORG-001</t>
        </is>
      </c>
      <c r="D19" t="inlineStr">
        <is>
          <t>CERTIFIED</t>
        </is>
      </c>
    </row>
    <row r="20">
      <c r="A20" t="inlineStr">
        <is>
          <t>DER-SPC-002</t>
        </is>
      </c>
      <c r="B20" t="inlineStr">
        <is>
          <t>Laplacian L=D-A</t>
        </is>
      </c>
      <c r="C20" t="inlineStr">
        <is>
          <t>SPC-001</t>
        </is>
      </c>
      <c r="D20" t="inlineStr">
        <is>
          <t>CERTIFIED</t>
        </is>
      </c>
    </row>
    <row r="21">
      <c r="A21" t="inlineStr">
        <is>
          <t>DER-SPC-003</t>
        </is>
      </c>
      <c r="B21" t="inlineStr">
        <is>
          <t>Spectrum Spec(L)</t>
        </is>
      </c>
      <c r="C21" t="inlineStr">
        <is>
          <t>SPC-002</t>
        </is>
      </c>
      <c r="D21" t="inlineStr">
        <is>
          <t>CERTIFIED</t>
        </is>
      </c>
    </row>
    <row r="22">
      <c r="A22" t="inlineStr">
        <is>
          <t>DER-SPC-004</t>
        </is>
      </c>
      <c r="B22" t="inlineStr">
        <is>
          <t>Heat kernel K_t</t>
        </is>
      </c>
      <c r="C22" t="inlineStr">
        <is>
          <t>SPC-003</t>
        </is>
      </c>
      <c r="D22" t="inlineStr">
        <is>
          <t>CERTIFIED</t>
        </is>
      </c>
    </row>
    <row r="23">
      <c r="A23" t="inlineStr">
        <is>
          <t>DER-SPC-005</t>
        </is>
      </c>
      <c r="B23" t="inlineStr">
        <is>
          <t>Persistence operator R</t>
        </is>
      </c>
      <c r="C23" t="inlineStr">
        <is>
          <t>SPC-003</t>
        </is>
      </c>
      <c r="D23" t="inlineStr">
        <is>
          <t>CERTIFIED</t>
        </is>
      </c>
    </row>
    <row r="24">
      <c r="A24" t="inlineStr">
        <is>
          <t>DER-SPC-006</t>
        </is>
      </c>
      <c r="B24" t="inlineStr">
        <is>
          <t>Spectral fixed point Omega</t>
        </is>
      </c>
      <c r="C24" t="inlineStr">
        <is>
          <t>SPC-005</t>
        </is>
      </c>
      <c r="D24" t="inlineStr">
        <is>
          <t>OPEN</t>
        </is>
      </c>
    </row>
    <row r="25">
      <c r="A25" t="inlineStr">
        <is>
          <t>DER-VAR-001</t>
        </is>
      </c>
      <c r="B25" t="inlineStr">
        <is>
          <t>Persistence Cost Functional</t>
        </is>
      </c>
      <c r="C25" t="inlineStr">
        <is>
          <t>GEO-001, SPC-003</t>
        </is>
      </c>
      <c r="D25" t="inlineStr">
        <is>
          <t>CERTIFIED</t>
        </is>
      </c>
    </row>
    <row r="26">
      <c r="A26" t="inlineStr">
        <is>
          <t>DER-VAR-002</t>
        </is>
      </c>
      <c r="B26" t="inlineStr">
        <is>
          <t>Universal Persistence Field Equation</t>
        </is>
      </c>
      <c r="C26" t="inlineStr">
        <is>
          <t>VAR-001</t>
        </is>
      </c>
      <c r="D26" t="inlineStr">
        <is>
          <t>CERTIFIED</t>
        </is>
      </c>
    </row>
    <row r="27">
      <c r="A27" t="inlineStr">
        <is>
          <t>DER-VAR-003</t>
        </is>
      </c>
      <c r="B27" t="inlineStr">
        <is>
          <t>Legendre transform</t>
        </is>
      </c>
      <c r="C27" t="inlineStr">
        <is>
          <t>VAR-002</t>
        </is>
      </c>
      <c r="D27" t="inlineStr">
        <is>
          <t>CERTIFIED</t>
        </is>
      </c>
    </row>
    <row r="28">
      <c r="A28" t="inlineStr">
        <is>
          <t>DER-VAR-004</t>
        </is>
      </c>
      <c r="B28" t="inlineStr">
        <is>
          <t>Einstein-Hilbert action</t>
        </is>
      </c>
      <c r="C28" t="inlineStr">
        <is>
          <t>GEO-005</t>
        </is>
      </c>
      <c r="D28" t="inlineStr">
        <is>
          <t>CERTIFIED</t>
        </is>
      </c>
    </row>
    <row r="29">
      <c r="A29" t="inlineStr">
        <is>
          <t>DER-VAR-005</t>
        </is>
      </c>
      <c r="B29" t="inlineStr">
        <is>
          <t>Einstein field equations</t>
        </is>
      </c>
      <c r="C29" t="inlineStr">
        <is>
          <t>VAR-004, GEO-006</t>
        </is>
      </c>
      <c r="D29" t="inlineStr">
        <is>
          <t>CERTIFIED</t>
        </is>
      </c>
    </row>
    <row r="30">
      <c r="A30" t="inlineStr">
        <is>
          <t>DER-GEO-001</t>
        </is>
      </c>
      <c r="B30" t="inlineStr">
        <is>
          <t>Spectral metric g_{ab}</t>
        </is>
      </c>
      <c r="C30" t="inlineStr">
        <is>
          <t>SPC-003</t>
        </is>
      </c>
      <c r="D30" t="inlineStr">
        <is>
          <t>CERTIFIED</t>
        </is>
      </c>
    </row>
    <row r="31">
      <c r="A31" t="inlineStr">
        <is>
          <t>DER-GEO-002</t>
        </is>
      </c>
      <c r="B31" t="inlineStr">
        <is>
          <t>Levi-Civita connection Gamma^c_{ab}</t>
        </is>
      </c>
      <c r="C31" t="inlineStr">
        <is>
          <t>GEO-001</t>
        </is>
      </c>
      <c r="D31" t="inlineStr">
        <is>
          <t>CERTIFIED</t>
        </is>
      </c>
    </row>
    <row r="32">
      <c r="A32" t="inlineStr">
        <is>
          <t>DER-GEO-003</t>
        </is>
      </c>
      <c r="B32" t="inlineStr">
        <is>
          <t>Riemann tensor R^rho_{sig ab}</t>
        </is>
      </c>
      <c r="C32" t="inlineStr">
        <is>
          <t>GEO-002</t>
        </is>
      </c>
      <c r="D32" t="inlineStr">
        <is>
          <t>CERTIFIED</t>
        </is>
      </c>
    </row>
    <row r="33">
      <c r="A33" t="inlineStr">
        <is>
          <t>DER-GEO-004</t>
        </is>
      </c>
      <c r="B33" t="inlineStr">
        <is>
          <t>Ricci tensor R_{ab}</t>
        </is>
      </c>
      <c r="C33" t="inlineStr">
        <is>
          <t>GEO-003</t>
        </is>
      </c>
      <c r="D33" t="inlineStr">
        <is>
          <t>CERTIFIED</t>
        </is>
      </c>
    </row>
    <row r="34">
      <c r="A34" t="inlineStr">
        <is>
          <t>DER-GEO-005</t>
        </is>
      </c>
      <c r="B34" t="inlineStr">
        <is>
          <t>Ricci scalar R</t>
        </is>
      </c>
      <c r="C34" t="inlineStr">
        <is>
          <t>GEO-004</t>
        </is>
      </c>
      <c r="D34" t="inlineStr">
        <is>
          <t>CERTIFIED</t>
        </is>
      </c>
    </row>
    <row r="35">
      <c r="A35" t="inlineStr">
        <is>
          <t>DER-GEO-006</t>
        </is>
      </c>
      <c r="B35" t="inlineStr">
        <is>
          <t>Einstein tensor G_{ab}</t>
        </is>
      </c>
      <c r="C35" t="inlineStr">
        <is>
          <t>GEO-005</t>
        </is>
      </c>
      <c r="D35" t="inlineStr">
        <is>
          <t>CERTIFIED</t>
        </is>
      </c>
    </row>
    <row r="36">
      <c r="A36" t="inlineStr">
        <is>
          <t>DER-GAU-001</t>
        </is>
      </c>
      <c r="B36" t="inlineStr">
        <is>
          <t>Gauge connection A_mu</t>
        </is>
      </c>
      <c r="C36" t="inlineStr">
        <is>
          <t>SPC-002</t>
        </is>
      </c>
      <c r="D36" t="inlineStr">
        <is>
          <t>CERTIFIED</t>
        </is>
      </c>
    </row>
    <row r="37">
      <c r="A37" t="inlineStr">
        <is>
          <t>DER-GAU-002</t>
        </is>
      </c>
      <c r="B37" t="inlineStr">
        <is>
          <t>Field strength F_{ab}</t>
        </is>
      </c>
      <c r="C37" t="inlineStr">
        <is>
          <t>GAU-001</t>
        </is>
      </c>
      <c r="D37" t="inlineStr">
        <is>
          <t>CERTIFIED</t>
        </is>
      </c>
    </row>
    <row r="38">
      <c r="A38" t="inlineStr">
        <is>
          <t>DER-GAU-003</t>
        </is>
      </c>
      <c r="B38" t="inlineStr">
        <is>
          <t>Covariant derivative D_mu</t>
        </is>
      </c>
      <c r="C38" t="inlineStr">
        <is>
          <t>GAU-001, GEO-002</t>
        </is>
      </c>
      <c r="D38" t="inlineStr">
        <is>
          <t>CERTIFIED</t>
        </is>
      </c>
    </row>
    <row r="39">
      <c r="A39" t="inlineStr">
        <is>
          <t>DER-GAU-004</t>
        </is>
      </c>
      <c r="B39" t="inlineStr">
        <is>
          <t>Yang-Mills equations</t>
        </is>
      </c>
      <c r="C39" t="inlineStr">
        <is>
          <t>GAU-002, GAU-003</t>
        </is>
      </c>
      <c r="D39" t="inlineStr">
        <is>
          <t>CERTIFIED</t>
        </is>
      </c>
    </row>
    <row r="40">
      <c r="A40" t="inlineStr">
        <is>
          <t>DER-QR-001</t>
        </is>
      </c>
      <c r="B40" t="inlineStr">
        <is>
          <t>Hilbert space H</t>
        </is>
      </c>
      <c r="C40" t="inlineStr">
        <is>
          <t>SPC-003</t>
        </is>
      </c>
      <c r="D40" t="inlineStr">
        <is>
          <t>CERTIFIED</t>
        </is>
      </c>
    </row>
    <row r="41">
      <c r="A41" t="inlineStr">
        <is>
          <t>DER-QR-002</t>
        </is>
      </c>
      <c r="B41" t="inlineStr">
        <is>
          <t>Schrodinger equation</t>
        </is>
      </c>
      <c r="C41" t="inlineStr">
        <is>
          <t>QR-001, SPC-003</t>
        </is>
      </c>
      <c r="D41" t="inlineStr">
        <is>
          <t>CERTIFIED</t>
        </is>
      </c>
    </row>
    <row r="42">
      <c r="A42" t="inlineStr">
        <is>
          <t>DER-QR-003</t>
        </is>
      </c>
      <c r="B42" t="inlineStr">
        <is>
          <t>Heisenberg equation</t>
        </is>
      </c>
      <c r="C42" t="inlineStr">
        <is>
          <t>QR-002</t>
        </is>
      </c>
      <c r="D42" t="inlineStr">
        <is>
          <t>CERTIFIED</t>
        </is>
      </c>
    </row>
    <row r="43">
      <c r="A43" t="inlineStr">
        <is>
          <t>DER-QR-004</t>
        </is>
      </c>
      <c r="B43" t="inlineStr">
        <is>
          <t>Uncertainty relation</t>
        </is>
      </c>
      <c r="C43" t="inlineStr">
        <is>
          <t>QR-003</t>
        </is>
      </c>
      <c r="D43" t="inlineStr">
        <is>
          <t>CERTIFIED</t>
        </is>
      </c>
    </row>
    <row r="44">
      <c r="A44" t="inlineStr">
        <is>
          <t>DER-QR-005</t>
        </is>
      </c>
      <c r="B44" t="inlineStr">
        <is>
          <t>Clifford algebra</t>
        </is>
      </c>
      <c r="C44" t="inlineStr">
        <is>
          <t>GEO-001</t>
        </is>
      </c>
      <c r="D44" t="inlineStr">
        <is>
          <t>CERTIFIED</t>
        </is>
      </c>
    </row>
    <row r="45">
      <c r="A45" t="inlineStr">
        <is>
          <t>DER-QR-006</t>
        </is>
      </c>
      <c r="B45" t="inlineStr">
        <is>
          <t>Dirac operator</t>
        </is>
      </c>
      <c r="C45" t="inlineStr">
        <is>
          <t>QR-005, GAU-003</t>
        </is>
      </c>
      <c r="D45" t="inlineStr">
        <is>
          <t>CERTIFIED</t>
        </is>
      </c>
    </row>
    <row r="46">
      <c r="A46" t="inlineStr">
        <is>
          <t>DER-QR-007</t>
        </is>
      </c>
      <c r="B46" t="inlineStr">
        <is>
          <t>Spin recovery</t>
        </is>
      </c>
      <c r="C46" t="inlineStr">
        <is>
          <t>QR-006</t>
        </is>
      </c>
      <c r="D46" t="inlineStr">
        <is>
          <t>CERTIFIED</t>
        </is>
      </c>
    </row>
    <row r="47">
      <c r="A47" t="inlineStr">
        <is>
          <t>DER-QR-008</t>
        </is>
      </c>
      <c r="B47" t="inlineStr">
        <is>
          <t>Magnetic moment</t>
        </is>
      </c>
      <c r="C47" t="inlineStr">
        <is>
          <t>QR-007, GAU-001</t>
        </is>
      </c>
      <c r="D47" t="inlineStr">
        <is>
          <t>CERTIFIED</t>
        </is>
      </c>
    </row>
    <row r="48">
      <c r="A48" t="inlineStr">
        <is>
          <t>DER-TRC-001</t>
        </is>
      </c>
      <c r="B48" t="inlineStr">
        <is>
          <t>Internal energy (first law)</t>
        </is>
      </c>
      <c r="C48" t="inlineStr">
        <is>
          <t>PRIM-P-001</t>
        </is>
      </c>
      <c r="D48" t="inlineStr">
        <is>
          <t>CERTIFIED</t>
        </is>
      </c>
    </row>
    <row r="49">
      <c r="A49" t="inlineStr">
        <is>
          <t>DER-TRC-002</t>
        </is>
      </c>
      <c r="B49" t="inlineStr">
        <is>
          <t>Entropy S=k_B ln W</t>
        </is>
      </c>
      <c r="C49" t="inlineStr">
        <is>
          <t>TRC-001</t>
        </is>
      </c>
      <c r="D49" t="inlineStr">
        <is>
          <t>CERTIFIED</t>
        </is>
      </c>
    </row>
    <row r="50">
      <c r="A50" t="inlineStr">
        <is>
          <t>DER-TRC-003</t>
        </is>
      </c>
      <c r="B50" t="inlineStr">
        <is>
          <t>Entropy flux J_s=J_q/T</t>
        </is>
      </c>
      <c r="C50" t="inlineStr">
        <is>
          <t>TRC-002</t>
        </is>
      </c>
      <c r="D50" t="inlineStr">
        <is>
          <t>CERTIFIED</t>
        </is>
      </c>
    </row>
    <row r="51">
      <c r="A51" t="inlineStr">
        <is>
          <t>DER-TRC-004</t>
        </is>
      </c>
      <c r="B51" t="inlineStr">
        <is>
          <t>Clausius-Duhem inequality</t>
        </is>
      </c>
      <c r="C51" t="inlineStr">
        <is>
          <t>TRC-002, TRC-003</t>
        </is>
      </c>
      <c r="D51" t="inlineStr">
        <is>
          <t>CERTIFIED</t>
        </is>
      </c>
    </row>
    <row r="52">
      <c r="A52" t="inlineStr">
        <is>
          <t>DER-TRC-005</t>
        </is>
      </c>
      <c r="B52" t="inlineStr">
        <is>
          <t>Fourier heat flux J_q=-kappa nabla T</t>
        </is>
      </c>
      <c r="C52" t="inlineStr">
        <is>
          <t>TRC-003</t>
        </is>
      </c>
      <c r="D52" t="inlineStr">
        <is>
          <t>CERTIFIED</t>
        </is>
      </c>
    </row>
    <row r="53">
      <c r="A53" t="inlineStr">
        <is>
          <t>DER-TRC-006</t>
        </is>
      </c>
      <c r="B53" t="inlineStr">
        <is>
          <t>Pi_O (thermodynamic side)</t>
        </is>
      </c>
      <c r="C53" t="inlineStr">
        <is>
          <t>TRC-002, SPC-003</t>
        </is>
      </c>
      <c r="D53" t="inlineStr">
        <is>
          <t>OPEN</t>
        </is>
      </c>
    </row>
    <row r="54">
      <c r="A54" t="inlineStr">
        <is>
          <t>CMRC-001..019</t>
        </is>
      </c>
      <c r="B54" t="inlineStr">
        <is>
          <t>Conformal Math Recovery Core (complete)</t>
        </is>
      </c>
      <c r="C54" t="inlineStr">
        <is>
          <t>PRIM-G-001,002,003</t>
        </is>
      </c>
      <c r="D54" t="inlineStr">
        <is>
          <t>CERTIFIED</t>
        </is>
      </c>
    </row>
    <row r="55">
      <c r="A55" t="inlineStr">
        <is>
          <t>VAL-001</t>
        </is>
      </c>
      <c r="B55" t="inlineStr">
        <is>
          <t>String Theory (bosonic, critical dim=26)</t>
        </is>
      </c>
      <c r="C55" t="inlineStr">
        <is>
          <t>CMRC-001..019</t>
        </is>
      </c>
      <c r="D55" t="inlineStr">
        <is>
          <t>CERTIFIED</t>
        </is>
      </c>
    </row>
    <row r="56">
      <c r="A56" t="inlineStr">
        <is>
          <t>VAL-002</t>
        </is>
      </c>
      <c r="B56" t="inlineStr">
        <is>
          <t>Maxwell Electrodynamics</t>
        </is>
      </c>
      <c r="C56" t="inlineStr">
        <is>
          <t>DER-GAU-001..004</t>
        </is>
      </c>
      <c r="D56" t="inlineStr">
        <is>
          <t>CERTIFIED</t>
        </is>
      </c>
    </row>
    <row r="57">
      <c r="A57" t="inlineStr">
        <is>
          <t>VAL-003</t>
        </is>
      </c>
      <c r="B57" t="inlineStr">
        <is>
          <t>GR Matter Coupling</t>
        </is>
      </c>
      <c r="C57" t="inlineStr">
        <is>
          <t>DER-VAR-005, DER-TRC-001</t>
        </is>
      </c>
      <c r="D57" t="inlineStr">
        <is>
          <t>CERTIFIED</t>
        </is>
      </c>
    </row>
    <row r="58">
      <c r="A58" t="inlineStr">
        <is>
          <t>VAL-004</t>
        </is>
      </c>
      <c r="B58" t="inlineStr">
        <is>
          <t>Quantum Mechanics</t>
        </is>
      </c>
      <c r="C58" t="inlineStr">
        <is>
          <t>DER-QR-001..006</t>
        </is>
      </c>
      <c r="D58" t="inlineStr">
        <is>
          <t>CERTIFIED</t>
        </is>
      </c>
    </row>
    <row r="59">
      <c r="A59" t="inlineStr">
        <is>
          <t>VAL-005</t>
        </is>
      </c>
      <c r="B59" t="inlineStr">
        <is>
          <t>Hamiltonian Mechanics</t>
        </is>
      </c>
      <c r="C59" t="inlineStr">
        <is>
          <t>DER-VAR-003, DER-QR-001</t>
        </is>
      </c>
      <c r="D59" t="inlineStr">
        <is>
          <t>CERTIFIED</t>
        </is>
      </c>
    </row>
    <row r="60">
      <c r="A60" t="inlineStr">
        <is>
          <t>THM-ANOM</t>
        </is>
      </c>
      <c r="B60" t="inlineStr">
        <is>
          <t>G_SM = SU(3)xSU(2)xU(1) derivation</t>
        </is>
      </c>
      <c r="C60" t="inlineStr">
        <is>
          <t>DER-QR-006</t>
        </is>
      </c>
      <c r="D60" t="inlineStr">
        <is>
          <t>CERTIFIED</t>
        </is>
      </c>
    </row>
    <row r="61">
      <c r="A61" t="inlineStr">
        <is>
          <t>DER-C0-PRIMGRAPH-001</t>
        </is>
      </c>
      <c r="B61" t="inlineStr">
        <is>
          <t>Graph-spectral realization test of {Delta,tau,kappa,Pi} against PRF-PRIM (kappa=P_ker(L) idempotent+commutes with automorphism tau; Pi=ker(L) derivable; tau=exp(-tL) FALSIFIED; Delta type-mismatch found)</t>
        </is>
      </c>
      <c r="C61" t="inlineStr">
        <is>
          <t>PRF-PRIM, DER-SPC-002..005</t>
        </is>
      </c>
      <c r="D61" t="inlineStr">
        <is>
          <t>CALCULATED/PARTIAL</t>
        </is>
      </c>
    </row>
    <row r="62">
      <c r="A62" t="inlineStr">
        <is>
          <t># NOTE (Phase 1.5)</t>
        </is>
      </c>
      <c r="B62" t="inlineStr">
        <is>
          <t>No new DER-ID entries were found or added. SOURCE-010 (Open_Closure_v1.0) registers open PROBLEMS (INT-*, ATT-*) and open THEOREM/PROOF TARGETS (TH-*, PRF-001..*), not executed derivations. Forcing these into the DER-ID scheme would misrepresent them as derivations; they are catalogued instead in equation_registry_vNEXT.csv, dependency_registry_vNEXT.csv, and status_registry_vNEXT.csv.</t>
        </is>
      </c>
      <c r="C62" t="inlineStr"/>
      <c r="D6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s="1">
        <f>== MASTER_DEPENDENCIES.csv (Phase 1, unchanged) ===</f>
        <v/>
      </c>
    </row>
    <row r="2">
      <c r="A2" t="inlineStr">
        <is>
          <t>Dependency_ID</t>
        </is>
      </c>
      <c r="B2" t="inlineStr">
        <is>
          <t>Parent</t>
        </is>
      </c>
      <c r="C2" t="inlineStr">
        <is>
          <t>Child</t>
        </is>
      </c>
      <c r="D2" t="inlineStr">
        <is>
          <t>Meaning</t>
        </is>
      </c>
      <c r="E2" t="inlineStr">
        <is>
          <t>Status</t>
        </is>
      </c>
      <c r="F2" t="inlineStr">
        <is>
          <t>Scope / Closure</t>
        </is>
      </c>
    </row>
    <row r="3">
      <c r="A3" t="inlineStr">
        <is>
          <t>DEP-001</t>
        </is>
      </c>
      <c r="B3" t="inlineStr">
        <is>
          <t>(D,τ,κ,Π)</t>
        </is>
      </c>
      <c r="C3" t="inlineStr">
        <is>
          <t>Γ</t>
        </is>
      </c>
      <c r="D3" t="inlineStr">
        <is>
          <t>Primitive grammar → organizational action</t>
        </is>
      </c>
      <c r="E3" t="inlineStr">
        <is>
          <t>CERTIFIED SPINE</t>
        </is>
      </c>
      <c r="F3" t="inlineStr">
        <is>
          <t>C0 uniqueness/reconciliation open</t>
        </is>
      </c>
    </row>
    <row r="4">
      <c r="A4" t="inlineStr">
        <is>
          <t>DEP-002</t>
        </is>
      </c>
      <c r="B4" t="inlineStr">
        <is>
          <t>Γ</t>
        </is>
      </c>
      <c r="C4" t="inlineStr">
        <is>
          <t>O</t>
        </is>
      </c>
      <c r="D4" t="inlineStr">
        <is>
          <t>Organizational operator</t>
        </is>
      </c>
      <c r="E4" t="inlineStr">
        <is>
          <t>CERTIFIED SPINE</t>
        </is>
      </c>
      <c r="F4" t="inlineStr">
        <is>
          <t>Fixed-point closure open</t>
        </is>
      </c>
    </row>
    <row r="5">
      <c r="A5" t="inlineStr">
        <is>
          <t>DEP-003</t>
        </is>
      </c>
      <c r="B5" t="inlineStr">
        <is>
          <t>O</t>
        </is>
      </c>
      <c r="C5" t="inlineStr">
        <is>
          <t>Ψ</t>
        </is>
      </c>
      <c r="D5" t="inlineStr">
        <is>
          <t>State recursion</t>
        </is>
      </c>
      <c r="E5" t="inlineStr">
        <is>
          <t>CERTIFIED SPINE</t>
        </is>
      </c>
      <c r="F5" t="inlineStr">
        <is>
          <t>Compiler correspondence</t>
        </is>
      </c>
    </row>
    <row r="6">
      <c r="A6" t="inlineStr">
        <is>
          <t>DEP-004</t>
        </is>
      </c>
      <c r="B6" t="inlineStr">
        <is>
          <t>Ψ</t>
        </is>
      </c>
      <c r="C6" t="inlineStr">
        <is>
          <t>G</t>
        </is>
      </c>
      <c r="D6" t="inlineStr">
        <is>
          <t>Graph substrate</t>
        </is>
      </c>
      <c r="E6" t="inlineStr">
        <is>
          <t>CERTIFIED/PARTIAL</t>
        </is>
      </c>
      <c r="F6" t="inlineStr">
        <is>
          <t>Representation scope</t>
        </is>
      </c>
    </row>
    <row r="7">
      <c r="A7" t="inlineStr">
        <is>
          <t>DEP-005</t>
        </is>
      </c>
      <c r="B7" t="inlineStr">
        <is>
          <t>G</t>
        </is>
      </c>
      <c r="C7" t="inlineStr">
        <is>
          <t>L</t>
        </is>
      </c>
      <c r="D7" t="inlineStr">
        <is>
          <t>Graph Laplacian</t>
        </is>
      </c>
      <c r="E7" t="inlineStr">
        <is>
          <t>CERTIFIED</t>
        </is>
      </c>
      <c r="F7" t="inlineStr">
        <is>
          <t>Finite graph</t>
        </is>
      </c>
    </row>
    <row r="8">
      <c r="A8" t="inlineStr">
        <is>
          <t>DEP-006</t>
        </is>
      </c>
      <c r="B8" t="inlineStr">
        <is>
          <t>L</t>
        </is>
      </c>
      <c r="C8" t="inlineStr">
        <is>
          <t>Spec(L)</t>
        </is>
      </c>
      <c r="D8" t="inlineStr">
        <is>
          <t>Spectral decomposition</t>
        </is>
      </c>
      <c r="E8" t="inlineStr">
        <is>
          <t>CERTIFIED</t>
        </is>
      </c>
      <c r="F8" t="inlineStr">
        <is>
          <t>Self-adjoint</t>
        </is>
      </c>
    </row>
    <row r="9">
      <c r="A9" t="inlineStr">
        <is>
          <t>DEP-007</t>
        </is>
      </c>
      <c r="B9" t="inlineStr">
        <is>
          <t>Spec(L)</t>
        </is>
      </c>
      <c r="C9" t="inlineStr">
        <is>
          <t>K_t</t>
        </is>
      </c>
      <c r="D9" t="inlineStr">
        <is>
          <t>Heat semigroup</t>
        </is>
      </c>
      <c r="E9" t="inlineStr">
        <is>
          <t>CERTIFIED</t>
        </is>
      </c>
      <c r="F9" t="inlineStr">
        <is>
          <t>t&gt;0</t>
        </is>
      </c>
    </row>
    <row r="10">
      <c r="A10" t="inlineStr">
        <is>
          <t>DEP-008</t>
        </is>
      </c>
      <c r="B10" t="inlineStr">
        <is>
          <t>K_t</t>
        </is>
      </c>
      <c r="C10" t="inlineStr">
        <is>
          <t>d</t>
        </is>
      </c>
      <c r="D10" t="inlineStr">
        <is>
          <t>Diffusion distance</t>
        </is>
      </c>
      <c r="E10" t="inlineStr">
        <is>
          <t>CALCULATED</t>
        </is>
      </c>
      <c r="F10" t="inlineStr">
        <is>
          <t>Nonzero spectrum</t>
        </is>
      </c>
    </row>
    <row r="11">
      <c r="A11" t="inlineStr">
        <is>
          <t>DEP-009</t>
        </is>
      </c>
      <c r="B11" t="inlineStr">
        <is>
          <t>d</t>
        </is>
      </c>
      <c r="C11" t="inlineStr">
        <is>
          <t>g</t>
        </is>
      </c>
      <c r="D11" t="inlineStr">
        <is>
          <t>Metric reconstruction</t>
        </is>
      </c>
      <c r="E11" t="inlineStr">
        <is>
          <t>CALCULATED/SCOPED</t>
        </is>
      </c>
      <c r="F11" t="inlineStr">
        <is>
          <t>Continuum</t>
        </is>
      </c>
    </row>
    <row r="12">
      <c r="A12" t="inlineStr">
        <is>
          <t>DEP-010</t>
        </is>
      </c>
      <c r="B12" t="inlineStr">
        <is>
          <t>g</t>
        </is>
      </c>
      <c r="C12" t="inlineStr">
        <is>
          <t>∇</t>
        </is>
      </c>
      <c r="D12" t="inlineStr">
        <is>
          <t>Levi-Civita connection</t>
        </is>
      </c>
      <c r="E12" t="inlineStr">
        <is>
          <t>DERIVED</t>
        </is>
      </c>
      <c r="F12" t="inlineStr">
        <is>
          <t>Smooth metric</t>
        </is>
      </c>
    </row>
    <row r="13">
      <c r="A13" t="inlineStr">
        <is>
          <t>DEP-011</t>
        </is>
      </c>
      <c r="B13" t="inlineStr">
        <is>
          <t>∇</t>
        </is>
      </c>
      <c r="C13" t="inlineStr">
        <is>
          <t>Riemann</t>
        </is>
      </c>
      <c r="D13" t="inlineStr">
        <is>
          <t>Curvature</t>
        </is>
      </c>
      <c r="E13" t="inlineStr">
        <is>
          <t>DERIVED</t>
        </is>
      </c>
      <c r="F13" t="inlineStr">
        <is>
          <t>Differentiability</t>
        </is>
      </c>
    </row>
    <row r="14">
      <c r="A14" t="inlineStr">
        <is>
          <t>DEP-012</t>
        </is>
      </c>
      <c r="B14" t="inlineStr">
        <is>
          <t>Riemann</t>
        </is>
      </c>
      <c r="C14" t="inlineStr">
        <is>
          <t>Ricci</t>
        </is>
      </c>
      <c r="D14" t="inlineStr">
        <is>
          <t>Contraction</t>
        </is>
      </c>
      <c r="E14" t="inlineStr">
        <is>
          <t>DERIVED</t>
        </is>
      </c>
      <c r="F14" t="inlineStr">
        <is>
          <t>Geometry</t>
        </is>
      </c>
    </row>
    <row r="15">
      <c r="A15" t="inlineStr">
        <is>
          <t>DEP-013</t>
        </is>
      </c>
      <c r="B15" t="inlineStr">
        <is>
          <t>Ricci</t>
        </is>
      </c>
      <c r="C15" t="inlineStr">
        <is>
          <t>R</t>
        </is>
      </c>
      <c r="D15" t="inlineStr">
        <is>
          <t>Scalar curvature</t>
        </is>
      </c>
      <c r="E15" t="inlineStr">
        <is>
          <t>DERIVED</t>
        </is>
      </c>
      <c r="F15" t="inlineStr">
        <is>
          <t>Geometry</t>
        </is>
      </c>
    </row>
    <row r="16">
      <c r="A16" t="inlineStr">
        <is>
          <t>DEP-014</t>
        </is>
      </c>
      <c r="B16" t="inlineStr">
        <is>
          <t>R</t>
        </is>
      </c>
      <c r="C16" t="inlineStr">
        <is>
          <t>G_μν</t>
        </is>
      </c>
      <c r="D16" t="inlineStr">
        <is>
          <t>Einstein tensor</t>
        </is>
      </c>
      <c r="E16" t="inlineStr">
        <is>
          <t>DERIVED</t>
        </is>
      </c>
      <c r="F16" t="inlineStr">
        <is>
          <t>Geometry</t>
        </is>
      </c>
    </row>
    <row r="17">
      <c r="A17" t="inlineStr">
        <is>
          <t>DEP-015</t>
        </is>
      </c>
      <c r="B17" t="inlineStr">
        <is>
          <t>G_μν</t>
        </is>
      </c>
      <c r="C17" t="inlineStr">
        <is>
          <t>S_EH</t>
        </is>
      </c>
      <c r="D17" t="inlineStr">
        <is>
          <t>Variational gravity</t>
        </is>
      </c>
      <c r="E17" t="inlineStr">
        <is>
          <t>DERIVED/ADMITTED</t>
        </is>
      </c>
      <c r="F17" t="inlineStr">
        <is>
          <t>Action</t>
        </is>
      </c>
    </row>
    <row r="18">
      <c r="A18" t="inlineStr">
        <is>
          <t>DEP-016</t>
        </is>
      </c>
      <c r="B18" t="inlineStr">
        <is>
          <t>S_EH</t>
        </is>
      </c>
      <c r="C18" t="inlineStr">
        <is>
          <t>A_μ,F_μν,D_μ,ψ,T_μν</t>
        </is>
      </c>
      <c r="D18" t="inlineStr">
        <is>
          <t>Matter/gauge/quantum sectors</t>
        </is>
      </c>
      <c r="E18" t="inlineStr">
        <is>
          <t>PARTIAL/VERSION DEPENDENT</t>
        </is>
      </c>
      <c r="F18" t="inlineStr">
        <is>
          <t>Selection/integration</t>
        </is>
      </c>
    </row>
    <row r="19">
      <c r="A19" t="inlineStr">
        <is>
          <t>DEP-017</t>
        </is>
      </c>
      <c r="B19" t="inlineStr">
        <is>
          <t>Spec(L)</t>
        </is>
      </c>
      <c r="C19" t="inlineStr">
        <is>
          <t>Π_spectral</t>
        </is>
      </c>
      <c r="D19" t="inlineStr">
        <is>
          <t>Persistence sector</t>
        </is>
      </c>
      <c r="E19" t="inlineStr">
        <is>
          <t>PARTIAL</t>
        </is>
      </c>
      <c r="F19" t="inlineStr">
        <is>
          <t>Functional/threshold open</t>
        </is>
      </c>
    </row>
    <row r="20">
      <c r="A20" t="inlineStr">
        <is>
          <t>DEP-018</t>
        </is>
      </c>
      <c r="B20" t="inlineStr">
        <is>
          <t>Π_spectral</t>
        </is>
      </c>
      <c r="C20" t="inlineStr">
        <is>
          <t>Σ_H</t>
        </is>
      </c>
      <c r="D20" t="inlineStr">
        <is>
          <t>Horizon selector</t>
        </is>
      </c>
      <c r="E20" t="inlineStr">
        <is>
          <t>OPEN</t>
        </is>
      </c>
      <c r="F20" t="inlineStr">
        <is>
          <t>Need organizational/causal boundary derivation</t>
        </is>
      </c>
    </row>
    <row r="21">
      <c r="A21" t="inlineStr">
        <is>
          <t>DEP-019</t>
        </is>
      </c>
      <c r="B21" t="inlineStr">
        <is>
          <t>Σ_H</t>
        </is>
      </c>
      <c r="C21" t="inlineStr">
        <is>
          <t>P_H</t>
        </is>
      </c>
      <c r="D21" t="inlineStr">
        <is>
          <t>Horizon projector</t>
        </is>
      </c>
      <c r="E21" t="inlineStr">
        <is>
          <t>OPEN</t>
        </is>
      </c>
      <c r="F21" t="inlineStr">
        <is>
          <t>Need P_H derivation</t>
        </is>
      </c>
    </row>
    <row r="22">
      <c r="A22" t="inlineStr">
        <is>
          <t>DEP-020</t>
        </is>
      </c>
      <c r="B22" t="inlineStr">
        <is>
          <t>P_H,L</t>
        </is>
      </c>
      <c r="C22" t="inlineStr">
        <is>
          <t>Z_H</t>
        </is>
      </c>
      <c r="D22" t="inlineStr">
        <is>
          <t>Localized heat trace</t>
        </is>
      </c>
      <c r="E22" t="inlineStr">
        <is>
          <t>CALCULATED GIVEN P_H</t>
        </is>
      </c>
      <c r="F22" t="inlineStr">
        <is>
          <t>UOC generation open</t>
        </is>
      </c>
    </row>
    <row r="23">
      <c r="A23" t="inlineStr">
        <is>
          <t>DEP-021</t>
        </is>
      </c>
      <c r="B23" t="inlineStr">
        <is>
          <t>Z_H</t>
        </is>
      </c>
      <c r="C23" t="inlineStr">
        <is>
          <t>A_H</t>
        </is>
      </c>
      <c r="D23" t="inlineStr">
        <is>
          <t>Area</t>
        </is>
      </c>
      <c r="E23" t="inlineStr">
        <is>
          <t>DERIVED/SCOPED</t>
        </is>
      </c>
      <c r="F23" t="inlineStr">
        <is>
          <t>2D heat kernel</t>
        </is>
      </c>
    </row>
    <row r="24">
      <c r="A24" t="inlineStr">
        <is>
          <t>DEP-022</t>
        </is>
      </c>
      <c r="B24" t="inlineStr">
        <is>
          <t>A_H</t>
        </is>
      </c>
      <c r="C24" t="inlineStr">
        <is>
          <t>N_H^UOC</t>
        </is>
      </c>
      <c r="D24" t="inlineStr">
        <is>
          <t>Information count</t>
        </is>
      </c>
      <c r="E24" t="inlineStr">
        <is>
          <t>OPEN</t>
        </is>
      </c>
      <c r="F24" t="inlineStr">
        <is>
          <t>Independent functional</t>
        </is>
      </c>
    </row>
    <row r="25">
      <c r="A25" t="inlineStr">
        <is>
          <t>DEP-023</t>
        </is>
      </c>
      <c r="B25" t="inlineStr">
        <is>
          <t>N_H^UOC</t>
        </is>
      </c>
      <c r="C25" t="inlineStr">
        <is>
          <t>Ξ</t>
        </is>
      </c>
      <c r="D25" t="inlineStr">
        <is>
          <t>Cutoff ratio</t>
        </is>
      </c>
      <c r="E25" t="inlineStr">
        <is>
          <t>CONDITIONAL</t>
        </is>
      </c>
      <c r="F25" t="inlineStr">
        <is>
          <t>Non-circular mapping</t>
        </is>
      </c>
    </row>
    <row r="26">
      <c r="A26" t="inlineStr">
        <is>
          <t>DEP-024</t>
        </is>
      </c>
      <c r="B26" t="inlineStr">
        <is>
          <t>Ξ</t>
        </is>
      </c>
      <c r="C26" t="inlineStr">
        <is>
          <t>Λ_*</t>
        </is>
      </c>
      <c r="D26" t="inlineStr">
        <is>
          <t>Physical cutoff</t>
        </is>
      </c>
      <c r="E26" t="inlineStr">
        <is>
          <t>DERIVED GIVEN ℓ_p</t>
        </is>
      </c>
      <c r="F26" t="inlineStr">
        <is>
          <t>Absolute scale origin open</t>
        </is>
      </c>
    </row>
    <row r="27">
      <c r="A27" t="inlineStr">
        <is>
          <t>DEP-025</t>
        </is>
      </c>
      <c r="B27" t="inlineStr">
        <is>
          <t>Λ_*</t>
        </is>
      </c>
      <c r="C27" t="inlineStr">
        <is>
          <t>ρ_vac</t>
        </is>
      </c>
      <c r="D27" t="inlineStr">
        <is>
          <t>Vacuum density</t>
        </is>
      </c>
      <c r="E27" t="inlineStr">
        <is>
          <t>DERIVED</t>
        </is>
      </c>
      <c r="F27" t="inlineStr">
        <is>
          <t>3D DOS</t>
        </is>
      </c>
    </row>
    <row r="28">
      <c r="A28" t="inlineStr">
        <is>
          <t>DEP-026</t>
        </is>
      </c>
      <c r="B28" t="inlineStr">
        <is>
          <t>ρ_vac</t>
        </is>
      </c>
      <c r="C28" t="inlineStr">
        <is>
          <t>Λ_cosm</t>
        </is>
      </c>
      <c r="D28" t="inlineStr">
        <is>
          <t>Cosmological constant</t>
        </is>
      </c>
      <c r="E28" t="inlineStr">
        <is>
          <t>DERIVED</t>
        </is>
      </c>
      <c r="F28" t="inlineStr">
        <is>
          <t>ℓ_p² relation</t>
        </is>
      </c>
    </row>
    <row r="29">
      <c r="A29" t="inlineStr">
        <is>
          <t>DEP-027</t>
        </is>
      </c>
      <c r="B29" t="inlineStr">
        <is>
          <t>Λ_cosm</t>
        </is>
      </c>
      <c r="C29" t="inlineStr">
        <is>
          <t>H</t>
        </is>
      </c>
      <c r="D29" t="inlineStr">
        <is>
          <t>Friedmann</t>
        </is>
      </c>
      <c r="E29" t="inlineStr">
        <is>
          <t>DERIVED/ADMITTED</t>
        </is>
      </c>
      <c r="F29" t="inlineStr">
        <is>
          <t>Vacuum branch</t>
        </is>
      </c>
    </row>
    <row r="30">
      <c r="A30" t="inlineStr">
        <is>
          <t>DEP-028</t>
        </is>
      </c>
      <c r="B30" t="inlineStr">
        <is>
          <t>H</t>
        </is>
      </c>
      <c r="C30" t="inlineStr">
        <is>
          <t>a(t)</t>
        </is>
      </c>
      <c r="D30" t="inlineStr">
        <is>
          <t>Scale factor</t>
        </is>
      </c>
      <c r="E30" t="inlineStr">
        <is>
          <t>DERIVED</t>
        </is>
      </c>
      <c r="F30" t="inlineStr">
        <is>
          <t>Constant vacuum → de Sitter</t>
        </is>
      </c>
    </row>
    <row r="31">
      <c r="A31" t="inlineStr">
        <is>
          <t>DEP-029</t>
        </is>
      </c>
      <c r="B31" t="inlineStr">
        <is>
          <t>Γ</t>
        </is>
      </c>
      <c r="C31" t="inlineStr">
        <is>
          <t>ℓ_*</t>
        </is>
      </c>
      <c r="D31" t="inlineStr">
        <is>
          <t>Absolute scale anchor</t>
        </is>
      </c>
      <c r="E31" t="inlineStr">
        <is>
          <t>OPEN</t>
        </is>
      </c>
      <c r="F31" t="inlineStr">
        <is>
          <t>Scale nonuniqueness</t>
        </is>
      </c>
    </row>
    <row r="32">
      <c r="A32" t="inlineStr">
        <is>
          <t>DEP-030</t>
        </is>
      </c>
      <c r="B32" t="inlineStr">
        <is>
          <t>Γ</t>
        </is>
      </c>
      <c r="C32" t="inlineStr">
        <is>
          <t>dotL</t>
        </is>
      </c>
      <c r="D32" t="inlineStr">
        <is>
          <t>Spectral dynamics</t>
        </is>
      </c>
      <c r="E32" t="inlineStr">
        <is>
          <t>OPEN</t>
        </is>
      </c>
      <c r="F32" t="inlineStr">
        <is>
          <t>Must generate H rather than insert it</t>
        </is>
      </c>
    </row>
    <row r="34">
      <c r="A34">
        <f>== SOURCE-010 theorem-target dependency graph (21_MASTER_CLOSURE_DAG, PARALLEL/complementary framing) ===</f>
        <v/>
      </c>
    </row>
    <row r="35">
      <c r="A35" t="inlineStr">
        <is>
          <t>NOTE: this is a THEOREM-TARGET-granularity graph (coarser than the 779-node DAG), not a replacement for it. Registered as-is, source-tagged, not merged into master_edges.csv node-for-node.</t>
        </is>
      </c>
    </row>
    <row r="36">
      <c r="A36" t="inlineStr">
        <is>
          <t>Edge</t>
        </is>
      </c>
      <c r="B36" t="inlineStr">
        <is>
          <t>Parent</t>
        </is>
      </c>
      <c r="C36" t="inlineStr">
        <is>
          <t>Child</t>
        </is>
      </c>
      <c r="D36" t="inlineStr">
        <is>
          <t>Layer</t>
        </is>
      </c>
      <c r="E36" t="inlineStr">
        <is>
          <t>Unlock Theorem</t>
        </is>
      </c>
    </row>
    <row r="37">
      <c r="A37" t="inlineStr">
        <is>
          <t>D-001</t>
        </is>
      </c>
      <c r="B37" t="inlineStr">
        <is>
          <t>Primitive reconciliation</t>
        </is>
      </c>
      <c r="C37" t="inlineStr">
        <is>
          <t>Γ</t>
        </is>
      </c>
      <c r="D37" t="inlineStr">
        <is>
          <t>C0</t>
        </is>
      </c>
      <c r="E37" t="inlineStr">
        <is>
          <t>TH-001</t>
        </is>
      </c>
    </row>
    <row r="38">
      <c r="A38" t="inlineStr">
        <is>
          <t>D-002</t>
        </is>
      </c>
      <c r="B38" t="inlineStr">
        <is>
          <t>Γ</t>
        </is>
      </c>
      <c r="C38" t="inlineStr">
        <is>
          <t>Fix(Γ)</t>
        </is>
      </c>
      <c r="D38" t="inlineStr">
        <is>
          <t>C1</t>
        </is>
      </c>
      <c r="E38" t="inlineStr">
        <is>
          <t>TH-002</t>
        </is>
      </c>
    </row>
    <row r="39">
      <c r="A39" t="inlineStr">
        <is>
          <t>D-003</t>
        </is>
      </c>
      <c r="B39" t="inlineStr">
        <is>
          <t>Fix/Γ</t>
        </is>
      </c>
      <c r="C39" t="inlineStr">
        <is>
          <t>Π_O</t>
        </is>
      </c>
      <c r="D39" t="inlineStr">
        <is>
          <t>C2</t>
        </is>
      </c>
      <c r="E39" t="inlineStr">
        <is>
          <t>TH-003</t>
        </is>
      </c>
    </row>
    <row r="40">
      <c r="A40" t="inlineStr">
        <is>
          <t>D-004</t>
        </is>
      </c>
      <c r="B40" t="inlineStr">
        <is>
          <t>Π_O</t>
        </is>
      </c>
      <c r="C40" t="inlineStr">
        <is>
          <t>λ_c</t>
        </is>
      </c>
      <c r="D40" t="inlineStr">
        <is>
          <t>C2</t>
        </is>
      </c>
      <c r="E40" t="inlineStr">
        <is>
          <t>TH-004</t>
        </is>
      </c>
    </row>
    <row r="41">
      <c r="A41" t="inlineStr">
        <is>
          <t>D-005</t>
        </is>
      </c>
      <c r="B41" t="inlineStr">
        <is>
          <t>λ_c</t>
        </is>
      </c>
      <c r="C41" t="inlineStr">
        <is>
          <t>persistence sector</t>
        </is>
      </c>
      <c r="D41" t="inlineStr">
        <is>
          <t>C2</t>
        </is>
      </c>
      <c r="E41" t="inlineStr">
        <is>
          <t>TH-004</t>
        </is>
      </c>
    </row>
    <row r="42">
      <c r="A42" t="inlineStr">
        <is>
          <t>D-006</t>
        </is>
      </c>
      <c r="B42" t="inlineStr">
        <is>
          <t>G/refinement</t>
        </is>
      </c>
      <c r="C42" t="inlineStr">
        <is>
          <t>−Δ_g</t>
        </is>
      </c>
      <c r="D42" t="inlineStr">
        <is>
          <t>C3</t>
        </is>
      </c>
      <c r="E42" t="inlineStr">
        <is>
          <t>TH-005</t>
        </is>
      </c>
    </row>
    <row r="43">
      <c r="A43" t="inlineStr">
        <is>
          <t>D-007</t>
        </is>
      </c>
      <c r="B43" t="inlineStr">
        <is>
          <t>heat kernel</t>
        </is>
      </c>
      <c r="C43" t="inlineStr">
        <is>
          <t>g</t>
        </is>
      </c>
      <c r="D43" t="inlineStr">
        <is>
          <t>C3</t>
        </is>
      </c>
      <c r="E43" t="inlineStr">
        <is>
          <t>TH-005/006</t>
        </is>
      </c>
    </row>
    <row r="44">
      <c r="A44" t="inlineStr">
        <is>
          <t>D-008</t>
        </is>
      </c>
      <c r="B44" t="inlineStr">
        <is>
          <t>negative mode</t>
        </is>
      </c>
      <c r="C44" t="inlineStr">
        <is>
          <t>Lorentzian signature</t>
        </is>
      </c>
      <c r="D44" t="inlineStr">
        <is>
          <t>C3</t>
        </is>
      </c>
      <c r="E44" t="inlineStr">
        <is>
          <t>TH-006</t>
        </is>
      </c>
    </row>
    <row r="45">
      <c r="A45" t="inlineStr">
        <is>
          <t>D-009</t>
        </is>
      </c>
      <c r="B45" t="inlineStr">
        <is>
          <t>spectral invariants</t>
        </is>
      </c>
      <c r="C45" t="inlineStr">
        <is>
          <t>C_UOC</t>
        </is>
      </c>
      <c r="D45" t="inlineStr">
        <is>
          <t>C4</t>
        </is>
      </c>
      <c r="E45" t="inlineStr">
        <is>
          <t>TH-007</t>
        </is>
      </c>
    </row>
    <row r="46">
      <c r="A46" t="inlineStr">
        <is>
          <t>D-010</t>
        </is>
      </c>
      <c r="B46" t="inlineStr">
        <is>
          <t>D_G/finite algebra</t>
        </is>
      </c>
      <c r="C46" t="inlineStr">
        <is>
          <t>G_SM/reps</t>
        </is>
      </c>
      <c r="D46" t="inlineStr">
        <is>
          <t>C5</t>
        </is>
      </c>
      <c r="E46" t="inlineStr">
        <is>
          <t>TH-008</t>
        </is>
      </c>
    </row>
    <row r="47">
      <c r="A47" t="inlineStr">
        <is>
          <t>D-011</t>
        </is>
      </c>
      <c r="B47" t="inlineStr">
        <is>
          <t>G_SM/reps</t>
        </is>
      </c>
      <c r="C47" t="inlineStr">
        <is>
          <t>N_gen</t>
        </is>
      </c>
      <c r="D47" t="inlineStr">
        <is>
          <t>C5</t>
        </is>
      </c>
      <c r="E47" t="inlineStr">
        <is>
          <t>TH-009</t>
        </is>
      </c>
    </row>
    <row r="48">
      <c r="A48" t="inlineStr">
        <is>
          <t>D-012</t>
        </is>
      </c>
      <c r="B48" t="inlineStr">
        <is>
          <t>spectral/projectors</t>
        </is>
      </c>
      <c r="C48" t="inlineStr">
        <is>
          <t>m_i,α_i</t>
        </is>
      </c>
      <c r="D48" t="inlineStr">
        <is>
          <t>C5</t>
        </is>
      </c>
      <c r="E48" t="inlineStr">
        <is>
          <t>TH-010</t>
        </is>
      </c>
    </row>
    <row r="49">
      <c r="A49" t="inlineStr">
        <is>
          <t>D-013</t>
        </is>
      </c>
      <c r="B49" t="inlineStr">
        <is>
          <t>Hilbert/measure</t>
        </is>
      </c>
      <c r="C49" t="inlineStr">
        <is>
          <t>Born rule</t>
        </is>
      </c>
      <c r="D49" t="inlineStr">
        <is>
          <t>C6</t>
        </is>
      </c>
      <c r="E49" t="inlineStr">
        <is>
          <t>TH-011</t>
        </is>
      </c>
    </row>
    <row r="50">
      <c r="A50" t="inlineStr">
        <is>
          <t>D-014</t>
        </is>
      </c>
      <c r="B50" t="inlineStr">
        <is>
          <t>quantum geometry</t>
        </is>
      </c>
      <c r="C50" t="inlineStr">
        <is>
          <t>BH entropy</t>
        </is>
      </c>
      <c r="D50" t="inlineStr">
        <is>
          <t>C6/C7</t>
        </is>
      </c>
      <c r="E50" t="inlineStr">
        <is>
          <t>TH-012/014</t>
        </is>
      </c>
    </row>
    <row r="51">
      <c r="A51" t="inlineStr">
        <is>
          <t>D-015</t>
        </is>
      </c>
      <c r="B51" t="inlineStr">
        <is>
          <t>Γ/geometry</t>
        </is>
      </c>
      <c r="C51" t="inlineStr">
        <is>
          <t>P_H</t>
        </is>
      </c>
      <c r="D51" t="inlineStr">
        <is>
          <t>C7</t>
        </is>
      </c>
      <c r="E51" t="inlineStr">
        <is>
          <t>TH-013</t>
        </is>
      </c>
    </row>
    <row r="52">
      <c r="A52" t="inlineStr">
        <is>
          <t>D-016</t>
        </is>
      </c>
      <c r="B52" t="inlineStr">
        <is>
          <t>P_H</t>
        </is>
      </c>
      <c r="C52" t="inlineStr">
        <is>
          <t>Z_H</t>
        </is>
      </c>
      <c r="D52" t="inlineStr">
        <is>
          <t>C7</t>
        </is>
      </c>
      <c r="E52" t="inlineStr">
        <is>
          <t>EQ-OPEN-016</t>
        </is>
      </c>
    </row>
    <row r="53">
      <c r="A53" t="inlineStr">
        <is>
          <t>D-017</t>
        </is>
      </c>
      <c r="B53" t="inlineStr">
        <is>
          <t>Z_H</t>
        </is>
      </c>
      <c r="C53" t="inlineStr">
        <is>
          <t>N_BH</t>
        </is>
      </c>
      <c r="D53" t="inlineStr">
        <is>
          <t>C7</t>
        </is>
      </c>
      <c r="E53" t="inlineStr">
        <is>
          <t>TH-014</t>
        </is>
      </c>
    </row>
    <row r="54">
      <c r="A54" t="inlineStr">
        <is>
          <t>D-018</t>
        </is>
      </c>
      <c r="B54" t="inlineStr">
        <is>
          <t>N_H</t>
        </is>
      </c>
      <c r="C54" t="inlineStr">
        <is>
          <t>Ξ</t>
        </is>
      </c>
      <c r="D54" t="inlineStr">
        <is>
          <t>C7</t>
        </is>
      </c>
      <c r="E54" t="inlineStr">
        <is>
          <t>TH-015</t>
        </is>
      </c>
    </row>
    <row r="55">
      <c r="A55" t="inlineStr">
        <is>
          <t>D-019</t>
        </is>
      </c>
      <c r="B55" t="inlineStr">
        <is>
          <t>Ξ</t>
        </is>
      </c>
      <c r="C55" t="inlineStr">
        <is>
          <t>Λ_*</t>
        </is>
      </c>
      <c r="D55" t="inlineStr">
        <is>
          <t>C7</t>
        </is>
      </c>
      <c r="E55" t="inlineStr">
        <is>
          <t>EQ-OPEN-018</t>
        </is>
      </c>
    </row>
    <row r="56">
      <c r="A56" t="inlineStr">
        <is>
          <t>D-020</t>
        </is>
      </c>
      <c r="B56" t="inlineStr">
        <is>
          <t>Λ_*</t>
        </is>
      </c>
      <c r="C56" t="inlineStr">
        <is>
          <t>ρ_vac</t>
        </is>
      </c>
      <c r="D56" t="inlineStr">
        <is>
          <t>C7</t>
        </is>
      </c>
      <c r="E56" t="inlineStr">
        <is>
          <t>EQ-OPEN-008</t>
        </is>
      </c>
    </row>
    <row r="57">
      <c r="A57" t="inlineStr">
        <is>
          <t>D-021</t>
        </is>
      </c>
      <c r="B57" t="inlineStr">
        <is>
          <t>ρ_vac</t>
        </is>
      </c>
      <c r="C57" t="inlineStr">
        <is>
          <t>Λ_cosm,H,a</t>
        </is>
      </c>
      <c r="D57" t="inlineStr">
        <is>
          <t>C7</t>
        </is>
      </c>
      <c r="E57" t="inlineStr">
        <is>
          <t>COS-010</t>
        </is>
      </c>
    </row>
    <row r="58">
      <c r="A58" t="inlineStr">
        <is>
          <t>D-022</t>
        </is>
      </c>
      <c r="B58" t="inlineStr">
        <is>
          <t>Γ/O/Ψ</t>
        </is>
      </c>
      <c r="C58" t="inlineStr">
        <is>
          <t>F</t>
        </is>
      </c>
      <c r="D58" t="inlineStr">
        <is>
          <t>C7</t>
        </is>
      </c>
      <c r="E58" t="inlineStr">
        <is>
          <t>TH-016</t>
        </is>
      </c>
    </row>
    <row r="59">
      <c r="A59" t="inlineStr">
        <is>
          <t>D-023</t>
        </is>
      </c>
      <c r="B59" t="inlineStr">
        <is>
          <t>F</t>
        </is>
      </c>
      <c r="C59" t="inlineStr">
        <is>
          <t>H branch</t>
        </is>
      </c>
      <c r="D59" t="inlineStr">
        <is>
          <t>C7</t>
        </is>
      </c>
      <c r="E59" t="inlineStr">
        <is>
          <t>TH-016</t>
        </is>
      </c>
    </row>
    <row r="60">
      <c r="A60" t="inlineStr">
        <is>
          <t>D-024</t>
        </is>
      </c>
      <c r="B60" t="inlineStr">
        <is>
          <t>C8 biology</t>
        </is>
      </c>
      <c r="C60" t="inlineStr">
        <is>
          <t>reverse derivation</t>
        </is>
      </c>
      <c r="D60" t="inlineStr">
        <is>
          <t>C8</t>
        </is>
      </c>
      <c r="E60" t="inlineStr">
        <is>
          <t>TH-017</t>
        </is>
      </c>
    </row>
    <row r="61">
      <c r="A61" t="inlineStr">
        <is>
          <t>D-025</t>
        </is>
      </c>
      <c r="B61" t="inlineStr">
        <is>
          <t>C9 grammar</t>
        </is>
      </c>
      <c r="C61" t="inlineStr">
        <is>
          <t>normal form</t>
        </is>
      </c>
      <c r="D61" t="inlineStr">
        <is>
          <t>C9</t>
        </is>
      </c>
      <c r="E61" t="inlineStr">
        <is>
          <t>TH-018</t>
        </is>
      </c>
    </row>
    <row r="62">
      <c r="A62" t="inlineStr">
        <is>
          <t>D-026</t>
        </is>
      </c>
      <c r="B62" t="inlineStr">
        <is>
          <t>normal form</t>
        </is>
      </c>
      <c r="C62" t="inlineStr">
        <is>
          <t>soundness/completeness</t>
        </is>
      </c>
      <c r="D62" t="inlineStr">
        <is>
          <t>C9</t>
        </is>
      </c>
      <c r="E62" t="inlineStr">
        <is>
          <t>TH-019/020</t>
        </is>
      </c>
    </row>
    <row r="63">
      <c r="A63" t="inlineStr">
        <is>
          <t>D-027</t>
        </is>
      </c>
      <c r="B63" t="inlineStr">
        <is>
          <t>all branches</t>
        </is>
      </c>
      <c r="C63" t="inlineStr">
        <is>
          <t>cross-domain validation</t>
        </is>
      </c>
      <c r="D63" t="inlineStr">
        <is>
          <t>C10</t>
        </is>
      </c>
      <c r="E63" t="inlineStr">
        <is>
          <t>TH-021</t>
        </is>
      </c>
    </row>
    <row r="64">
      <c r="A64" t="inlineStr">
        <is>
          <t>D-028</t>
        </is>
      </c>
      <c r="B64" t="inlineStr">
        <is>
          <t>validated branches</t>
        </is>
      </c>
      <c r="C64" t="inlineStr">
        <is>
          <t>novel prediction</t>
        </is>
      </c>
      <c r="D64" t="inlineStr">
        <is>
          <t>C10</t>
        </is>
      </c>
      <c r="E64" t="inlineStr">
        <is>
          <t>TH-022</t>
        </is>
      </c>
    </row>
    <row r="65">
      <c r="A65" t="inlineStr">
        <is>
          <t>D-029</t>
        </is>
      </c>
      <c r="B65" t="inlineStr">
        <is>
          <t>solution space</t>
        </is>
      </c>
      <c r="C65" t="inlineStr">
        <is>
          <t>selection</t>
        </is>
      </c>
      <c r="D65" t="inlineStr">
        <is>
          <t>C16</t>
        </is>
      </c>
      <c r="E65" t="inlineStr">
        <is>
          <t>TH-023</t>
        </is>
      </c>
    </row>
    <row r="66">
      <c r="A66" t="inlineStr">
        <is>
          <t>D-030</t>
        </is>
      </c>
      <c r="B66" t="inlineStr">
        <is>
          <t>UV program</t>
        </is>
      </c>
      <c r="C66" t="inlineStr">
        <is>
          <t>fundamental completion</t>
        </is>
      </c>
      <c r="D66" t="inlineStr">
        <is>
          <t>C11</t>
        </is>
      </c>
      <c r="E66" t="inlineStr">
        <is>
          <t>TH-024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.1" customWidth="1" min="1" max="1"/>
    <col width="6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Does the expanded corpus strengthen PRF-PRIM?</t>
        </is>
      </c>
      <c r="B2" t="inlineStr">
        <is>
          <t>NO new lemma, proof, or mapping found.</t>
        </is>
      </c>
    </row>
    <row r="3">
      <c r="A3" t="inlineStr">
        <is>
          <t>Does it provide a counterexample to PRF-PRIM?</t>
        </is>
      </c>
      <c r="B3" t="inlineStr">
        <is>
          <t>NO.</t>
        </is>
      </c>
    </row>
    <row r="4">
      <c r="A4" t="inlineStr">
        <is>
          <t>Does it change the SCOPE of the C0 result?</t>
        </is>
      </c>
      <c r="B4" t="inlineStr">
        <is>
          <t>YES -- TH-001 (06_OPEN_THEOREMS) formalizes the target as reconciling DTC/UDP/gradient/MDCL/NCG. PRF-PRIM tested DTC(A)/gradient(B)/Computational(C)/Extended(D) but did NOT independently test UDP or NCG as primitive-grammar realizations (NCG was used only as an equation-source label in PRF-PRIM).</t>
        </is>
      </c>
    </row>
    <row r="5">
      <c r="A5" t="inlineStr">
        <is>
          <t>Does it resolve the Delta type mismatch found in PRF-PRIM?</t>
        </is>
      </c>
      <c r="B5" t="inlineStr">
        <is>
          <t>NO -- not mentioned anywhere in the new corpus.</t>
        </is>
      </c>
    </row>
    <row r="6">
      <c r="A6" t="inlineStr">
        <is>
          <t>Does it establish a previously missing mapping?</t>
        </is>
      </c>
      <c r="B6" t="inlineStr">
        <is>
          <t>NO tested mapping. TDIC is PROPOSED (no formal definition found) -- not testable, not tested.</t>
        </is>
      </c>
    </row>
    <row r="7">
      <c r="A7" t="inlineStr">
        <is>
          <t>Does it create a new contradiction with PRF-PRIM's specific findings?</t>
        </is>
      </c>
      <c r="B7" t="inlineStr">
        <is>
          <t>NO. (The unrelated ARBS-canonicity conflict, CONFLICT-001, does not touch PRF-PRIM's tested content.)</t>
        </is>
      </c>
    </row>
    <row r="8">
      <c r="A8" t="inlineStr">
        <is>
          <t>Net effect</t>
        </is>
      </c>
      <c r="B8" t="inlineStr">
        <is>
          <t>C0 / PRF-PRIM's computed content, lemmas, and falsifications are UNCHANGED and NOT rerun. Its formal parent target (TH-001) is now known to be broader than what was executed -- this is new context, not a correction.</t>
        </is>
      </c>
    </row>
    <row r="9">
      <c r="A9" t="inlineStr">
        <is>
          <t>INT-001 cross-check (04_OPEN_MASTER_INTERNAL)</t>
        </is>
      </c>
      <c r="B9" t="inlineStr">
        <is>
          <t>Same obligation as PRF-PRIM, restated: 'Derive equivalence, hierarchy, embedding, or irreducible extension among DTC, UDP, gradient, MDCL, NCG routes.' Confirms PRF-PRIM targeted the correct problem.</t>
        </is>
      </c>
    </row>
    <row r="10">
      <c r="A10" t="inlineStr">
        <is>
          <t>SEL-001 cross-check (15_SELECTION_UNIQUENESS)</t>
        </is>
      </c>
      <c r="B10" t="inlineStr">
        <is>
          <t>'Unique grammar: One canonical primitive realization or proven equivalence class, C0, OPEN' -- consistent with PRF-PRIM's conclusion that no common minimal grammar was established across all 4 tested systems.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.8" customWidth="1" min="2" max="2"/>
    <col width="65" customWidth="1" min="3" max="3"/>
    <col width="63.9" customWidth="1" min="4" max="4"/>
    <col width="65" customWidth="1" min="5" max="5"/>
    <col width="65" customWidth="1" min="6" max="6"/>
    <col width="64.8" customWidth="1" min="7" max="7"/>
  </cols>
  <sheetData>
    <row r="1">
      <c r="A1" s="1" t="inlineStr">
        <is>
          <t>Layer</t>
        </is>
      </c>
      <c r="B1" s="1" t="inlineStr">
        <is>
          <t>Core_Target</t>
        </is>
      </c>
      <c r="C1" s="1" t="inlineStr">
        <is>
          <t>Derivation_Status</t>
        </is>
      </c>
      <c r="D1" s="1" t="inlineStr">
        <is>
          <t>Universality_Status</t>
        </is>
      </c>
      <c r="E1" s="1" t="inlineStr">
        <is>
          <t>Closure_Status</t>
        </is>
      </c>
      <c r="F1" s="1" t="inlineStr">
        <is>
          <t>Verification_Status</t>
        </is>
      </c>
      <c r="G1" s="1" t="inlineStr">
        <is>
          <t>Provenance_Status</t>
        </is>
      </c>
    </row>
    <row r="2">
      <c r="A2" t="inlineStr">
        <is>
          <t>C0</t>
        </is>
      </c>
      <c r="B2" t="inlineStr">
        <is>
          <t>Primitive/grammar reconciliation</t>
        </is>
      </c>
      <c r="C2" t="inlineStr">
        <is>
          <t>PARTIALLY ADVANCED (PRF-PRIM: 2 new lemmas CERTIFIED, 4 falsifications, 3-slot reduction within A/D)</t>
        </is>
      </c>
      <c r="D2" t="inlineStr">
        <is>
          <t>NOT UNIVERSAL (scoped to graph-spectral realization + 9 test families)</t>
        </is>
      </c>
      <c r="E2" t="inlineStr">
        <is>
          <t>OPEN (TH-001/INT-001/SEL-001 all confirm OPEN in both old and new corpus)</t>
        </is>
      </c>
      <c r="F2" t="inlineStr">
        <is>
          <t>VERIFIED (PRF-PRIM: reproducible scripts, 9/9 families)</t>
        </is>
      </c>
      <c r="G2" t="inlineStr">
        <is>
          <t>PRIMARY (SOURCE-004 + SOURCE-010, both hash/content-verified this phase)</t>
        </is>
      </c>
    </row>
    <row r="3">
      <c r="A3" t="inlineStr">
        <is>
          <t>C1</t>
        </is>
      </c>
      <c r="B3" t="inlineStr">
        <is>
          <t>Fixed-point/persistence (Fix(Gamma), Pi_O, lambda_c)</t>
        </is>
      </c>
      <c r="C3" t="inlineStr">
        <is>
          <t>OPEN (DER-ORG-006..009 all OPEN per Phase 1)</t>
        </is>
      </c>
      <c r="D3" t="inlineStr">
        <is>
          <t>N/A -- not yet derived</t>
        </is>
      </c>
      <c r="E3" t="inlineStr">
        <is>
          <t>OPEN THEOREM</t>
        </is>
      </c>
      <c r="F3" t="inlineStr">
        <is>
          <t>NOT VERIFIED (no execution yet)</t>
        </is>
      </c>
      <c r="G3" t="inlineStr">
        <is>
          <t>PRIMARY (SOURCE-004); TH-002/003/004 confirm same targets in SOURCE-010</t>
        </is>
      </c>
    </row>
    <row r="4">
      <c r="A4" t="inlineStr">
        <is>
          <t>C2</t>
        </is>
      </c>
      <c r="B4" t="inlineStr">
        <is>
          <t>Spectral/continuum/Lorentzian</t>
        </is>
      </c>
      <c r="C4" t="inlineStr">
        <is>
          <t>CALCULATED/PARTIAL (COSMO-DYN chain extensively executed, PRF-PRIM independently reproduced K4/K3,3 results)</t>
        </is>
      </c>
      <c r="D4" t="inlineStr">
        <is>
          <t>SCOPED to tested graph families (PRF-PRIM: 9 families; corpus: K4/K3,3)</t>
        </is>
      </c>
      <c r="E4" t="inlineStr">
        <is>
          <t>PARTIAL/OPEN (Lorentzian signature explicitly OPEN, C3-002 governance rule)</t>
        </is>
      </c>
      <c r="F4" t="inlineStr">
        <is>
          <t>VERIFIED for tested families</t>
        </is>
      </c>
      <c r="G4" t="inlineStr">
        <is>
          <t>PRIMARY</t>
        </is>
      </c>
    </row>
    <row r="5">
      <c r="A5" t="inlineStr">
        <is>
          <t>C3</t>
        </is>
      </c>
      <c r="B5" t="inlineStr">
        <is>
          <t>Nature-spectrum/constants</t>
        </is>
      </c>
      <c r="C5" t="inlineStr">
        <is>
          <t>OPEN (all fundamental constants registered CANDIDATE status, not DERIVED)</t>
        </is>
      </c>
      <c r="D5" t="inlineStr">
        <is>
          <t>N/A</t>
        </is>
      </c>
      <c r="E5" t="inlineStr">
        <is>
          <t>OPEN</t>
        </is>
      </c>
      <c r="F5" t="inlineStr">
        <is>
          <t>NOT VERIFIED</t>
        </is>
      </c>
      <c r="G5" t="inlineStr">
        <is>
          <t>PRIMARY</t>
        </is>
      </c>
    </row>
    <row r="6">
      <c r="A6" t="inlineStr">
        <is>
          <t>C4</t>
        </is>
      </c>
      <c r="B6" t="inlineStr">
        <is>
          <t>Gauge/representation/generation/matter</t>
        </is>
      </c>
      <c r="C6" t="inlineStr">
        <is>
          <t>PARTIAL (gauge connection/Yang-Mills CERTIFIED; group selection/generation count OPEN)</t>
        </is>
      </c>
      <c r="D6" t="inlineStr">
        <is>
          <t>N/A for open parts</t>
        </is>
      </c>
      <c r="E6" t="inlineStr">
        <is>
          <t>PARTIAL/OPEN</t>
        </is>
      </c>
      <c r="F6" t="inlineStr">
        <is>
          <t>NOT VERIFIED for open parts</t>
        </is>
      </c>
      <c r="G6" t="inlineStr">
        <is>
          <t>PRIMARY</t>
        </is>
      </c>
    </row>
    <row r="7">
      <c r="A7" t="inlineStr">
        <is>
          <t>C5</t>
        </is>
      </c>
      <c r="B7" t="inlineStr">
        <is>
          <t>Quantum/Born/quantum geometry</t>
        </is>
      </c>
      <c r="C7" t="inlineStr">
        <is>
          <t>PARTIAL (Hilbert space/Schrodinger/Dirac CERTIFIED; Born rule OPEN per PRF-BORN)</t>
        </is>
      </c>
      <c r="D7" t="inlineStr">
        <is>
          <t>N/A for open parts</t>
        </is>
      </c>
      <c r="E7" t="inlineStr">
        <is>
          <t>PARTIAL/OPEN</t>
        </is>
      </c>
      <c r="F7" t="inlineStr">
        <is>
          <t>NOT VERIFIED for open parts</t>
        </is>
      </c>
      <c r="G7" t="inlineStr">
        <is>
          <t>PRIMARY</t>
        </is>
      </c>
    </row>
    <row r="8">
      <c r="A8" t="inlineStr">
        <is>
          <t>C6</t>
        </is>
      </c>
      <c r="B8" t="inlineStr">
        <is>
          <t>Cosmology/horizon/information</t>
        </is>
      </c>
      <c r="C8" t="inlineStr">
        <is>
          <t>CALCULATED/PARTIAL (COSMO-DYN chain, most extensively executed branch); horizon selector/info normalization OPEN</t>
        </is>
      </c>
      <c r="D8" t="inlineStr">
        <is>
          <t>SCOPED</t>
        </is>
      </c>
      <c r="E8" t="inlineStr">
        <is>
          <t>PARTIAL/OPEN</t>
        </is>
      </c>
      <c r="F8" t="inlineStr">
        <is>
          <t>PARTIALLY VERIFIED</t>
        </is>
      </c>
      <c r="G8" t="inlineStr">
        <is>
          <t>PRIMARY</t>
        </is>
      </c>
    </row>
    <row r="9">
      <c r="A9" t="inlineStr">
        <is>
          <t>C7</t>
        </is>
      </c>
      <c r="B9" t="inlineStr">
        <is>
          <t>Biological/adaptive organization</t>
        </is>
      </c>
      <c r="C9" t="inlineStr">
        <is>
          <t>OPEN (mapping substantial, reverse derivation open per Phase 1)</t>
        </is>
      </c>
      <c r="D9" t="inlineStr">
        <is>
          <t>N/A</t>
        </is>
      </c>
      <c r="E9" t="inlineStr">
        <is>
          <t>OPEN</t>
        </is>
      </c>
      <c r="F9" t="inlineStr">
        <is>
          <t>NOT VERIFIED</t>
        </is>
      </c>
      <c r="G9" t="inlineStr">
        <is>
          <t>PRIMARY</t>
        </is>
      </c>
    </row>
    <row r="10">
      <c r="A10" t="inlineStr">
        <is>
          <t>C8</t>
        </is>
      </c>
      <c r="B10" t="inlineStr">
        <is>
          <t>Compiler/ARBS/UCCP/UGNT/H-Omega</t>
        </is>
      </c>
      <c r="C10" t="inlineStr">
        <is>
          <t>PARTIAL/DISPUTED -- ARBS theorems CERTIFIED per SOURCE-004 but 'legacy only, not canonical' per SOURCE-010 (CONFLICT-001, UNRESOLVED)</t>
        </is>
      </c>
      <c r="D10" t="inlineStr">
        <is>
          <t>N/A</t>
        </is>
      </c>
      <c r="E10" t="inlineStr">
        <is>
          <t>OPEN PARALLEL, canonicity disputed</t>
        </is>
      </c>
      <c r="F10" t="inlineStr">
        <is>
          <t>VERIFIED for the underlying math (Mosco/GH/Trotter-Kato); DISPUTED for canonicity</t>
        </is>
      </c>
      <c r="G10" t="inlineStr">
        <is>
          <t>PRIMARY, CONFLICTING (see CONFLICTS_AND_VERSION_RESOLUTION.md)</t>
        </is>
      </c>
    </row>
    <row r="11">
      <c r="A11" t="inlineStr">
        <is>
          <t>C9</t>
        </is>
      </c>
      <c r="B11" t="inlineStr">
        <is>
          <t>Cross-domain validation/falsification</t>
        </is>
      </c>
      <c r="C11" t="inlineStr">
        <is>
          <t>OPEN/PARTIAL (VAL-001..005 specific-limit recoveries CERTIFIED; general cross-domain suite not executed)</t>
        </is>
      </c>
      <c r="D11" t="inlineStr">
        <is>
          <t>NOT UNIVERSAL</t>
        </is>
      </c>
      <c r="E11" t="inlineStr">
        <is>
          <t>OPEN/PARTIAL</t>
        </is>
      </c>
      <c r="F11" t="inlineStr">
        <is>
          <t>PARTIALLY VERIFIED (specific limits only)</t>
        </is>
      </c>
      <c r="G11" t="inlineStr">
        <is>
          <t>PRIMARY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# Newly Discovered Calculations — Phase 1.5 Corpus Expansion</t>
        </is>
      </c>
    </row>
    <row r="2">
      <c r="A2" t="inlineStr"/>
    </row>
    <row r="3">
      <c r="A3" t="inlineStr">
        <is>
          <t>Per directive Section 5: an exhaustive search of all 5 newly-uploaded files (including cell</t>
        </is>
      </c>
    </row>
    <row r="4">
      <c r="A4" t="inlineStr">
        <is>
          <t>values, and manual inspection of every worksheet in `UOC_ToE_Open_Closure_Master_v1.0.xlsx`, the</t>
        </is>
      </c>
    </row>
    <row r="5">
      <c r="A5" t="inlineStr">
        <is>
          <t>only file with genuinely new content — see `SYNCHRONIZATION_HISTORY.md` for why the other 4 add</t>
        </is>
      </c>
    </row>
    <row r="6">
      <c r="A6" t="inlineStr">
        <is>
          <t>no new cells beyond what Phase 1 already ingested via SOURCE-004) for executed symbolic</t>
        </is>
      </c>
    </row>
    <row r="7">
      <c r="A7" t="inlineStr">
        <is>
          <t>derivations, numerical experiments, benchmark calculations, falsification tests, no-go results, or</t>
        </is>
      </c>
    </row>
    <row r="8">
      <c r="A8" t="inlineStr">
        <is>
          <t>any other calculation not yet in the Phase-1 registries.</t>
        </is>
      </c>
    </row>
    <row r="9">
      <c r="A9" t="inlineStr"/>
    </row>
    <row r="10">
      <c r="A10" t="inlineStr">
        <is>
          <t>## Headline finding: no new executed calculation was found</t>
        </is>
      </c>
    </row>
    <row r="11">
      <c r="A11" t="inlineStr"/>
    </row>
    <row r="12">
      <c r="A12" t="inlineStr">
        <is>
          <t>`UOC_ToE_Open_Closure_Master_v1.0.xlsx` is, by its own stated purpose (`00_README`), a **"Master</t>
        </is>
      </c>
    </row>
    <row r="13">
      <c r="A13" t="inlineStr">
        <is>
          <t>closure program"** cataloging *"everything that remains open, partial, conditional, proposed,</t>
        </is>
      </c>
    </row>
    <row r="14">
      <c r="A14" t="inlineStr">
        <is>
          <t>version-sensitive, or not yet explicitly addressed."* Every one of its 30 sheets was read. None</t>
        </is>
      </c>
    </row>
    <row r="15">
      <c r="A15" t="inlineStr">
        <is>
          <t>contains a symbolic derivation, a numerical experiment with reproducible inputs/outputs, a</t>
        </is>
      </c>
    </row>
    <row r="16">
      <c r="A16" t="inlineStr">
        <is>
          <t>benchmark test executed against a graph/parameter family, or a falsification test that was</t>
        </is>
      </c>
    </row>
    <row r="17">
      <c r="A17" t="inlineStr">
        <is>
          <t>actually run. This was verified both by direct reading and by a keyword scan: status values across</t>
        </is>
      </c>
    </row>
    <row r="18">
      <c r="A18" t="inlineStr">
        <is>
          <t>all 30 sheets are dominated by `OPEN` (&gt;540 occurrences) versus `CERTIFIED`/`CALCULATED`/`DERIVED`</t>
        </is>
      </c>
    </row>
    <row r="19">
      <c r="A19" t="inlineStr">
        <is>
          <t>(~300 occurrences combined) — and every occurrence of the latter three, checked by hand, refers</t>
        </is>
      </c>
    </row>
    <row r="20">
      <c r="A20" t="inlineStr">
        <is>
          <t>**narratively** to an EXISTING Phase-1 result (e.g. "Certified UCG spine" in `04_OPEN_MASTER_INTERNAL`</t>
        </is>
      </c>
    </row>
    <row r="21">
      <c r="A21" t="inlineStr">
        <is>
          <t>row INT-001), never to a new one computed inside this workbook.</t>
        </is>
      </c>
    </row>
    <row r="22">
      <c r="A22" t="inlineStr"/>
    </row>
    <row r="23">
      <c r="A23" t="inlineStr">
        <is>
          <t>**This is not a failure of the search — it is the correct reading of a document whose name is</t>
        </is>
      </c>
    </row>
    <row r="24">
      <c r="A24" t="inlineStr">
        <is>
          <t>literally "Open Closure Master."** Per governance rule ("do NOT classify something as OPEN merely</t>
        </is>
      </c>
    </row>
    <row r="25">
      <c r="A25" t="inlineStr">
        <is>
          <t>because it was not previously registered" / "if the document contains an actual executed</t>
        </is>
      </c>
    </row>
    <row r="26">
      <c r="A26" t="inlineStr">
        <is>
          <t>derivation, classify it accordingly") — the check was performed in the other direction too: no</t>
        </is>
      </c>
    </row>
    <row r="27">
      <c r="A27" t="inlineStr">
        <is>
          <t>row in this workbook was found that should be reclassified UP from OPEN to CALCULATED/DERIVED/</t>
        </is>
      </c>
    </row>
    <row r="28">
      <c r="A28" t="inlineStr">
        <is>
          <t>CERTIFIED. Every open item genuinely is open in its own source.</t>
        </is>
      </c>
    </row>
    <row r="29">
      <c r="A29" t="inlineStr"/>
    </row>
    <row r="30">
      <c r="A30" t="inlineStr">
        <is>
          <t>## What IS genuinely new (planning/registry material, not calculations)</t>
        </is>
      </c>
    </row>
    <row r="31">
      <c r="A31" t="inlineStr"/>
    </row>
    <row r="32">
      <c r="A32" t="inlineStr">
        <is>
          <t>| Category | Sheets | Content | Status classification |</t>
        </is>
      </c>
    </row>
    <row r="33">
      <c r="A33" t="inlineStr">
        <is>
          <t>|---|---|---|---|</t>
        </is>
      </c>
    </row>
    <row r="34">
      <c r="A34" t="inlineStr">
        <is>
          <t>| External ToE completeness benchmark | `01_TOE_BENCHMARK` (18 items, TOE-001..018) | What a complete theory must deliver (QG, SM recovery, UV completion, unitarity, etc.) mapped to UOC closure layers | ADMITTED EXTERNAL — reference checklist, not a UOC result |</t>
        </is>
      </c>
    </row>
    <row r="35">
      <c r="A35" t="inlineStr">
        <is>
          <t>| Successful-theory architecture comparison | `02_SUCCESSFUL_THEORIES` (8 theories, ST-001..008) | GR/SM/QCD/EW/QM/StatMech/Thermo/Newtonian core structure + what UOC must recover | ADMITTED EXTERNAL |</t>
        </is>
      </c>
    </row>
    <row r="36">
      <c r="A36" t="inlineStr">
        <is>
          <t>| External QG program comparison | `03_EXTERNAL_PROGRAMS` (8 programs, EXT-001..008) | String theory, LQG, asymptotic safety, CDT, causal sets, GUT, holography, asymptotic-safety+matter — what each achieved and what to reuse/avoid | ADMITTED EXTERNAL |</t>
        </is>
      </c>
    </row>
    <row r="37">
      <c r="A37" t="inlineStr">
        <is>
          <t>| Internal open-problem registry | `04_OPEN_MASTER_INTERNAL` (24 items, INT-001..024) | UOC-internal open closure problems by layer, **INT-001 = C0 primitive/grammar reconciliation** (directly PRF-PRIM's own obligation, restated) | OPEN (cross-references existing PRF-PRIM, not new) |</t>
        </is>
      </c>
    </row>
    <row r="38">
      <c r="A38" t="inlineStr">
        <is>
          <t>| Open bridges/theorems/proofs/equations/variables/simulations | `05`–`10` | Re-registers EXISTING BR-*, and NEW theorem targets (TH-001..~024), NEW numeric-ID proof obligations (PRF-001..~018, **different ID scheme** from the existing named PRF-PRIM/PRF-BORN/etc.), NEW open-equation targets (EQ-OPEN-001..~026), NEW open-variable targets (VAR-O-001..~022), NEW simulation *specifications* (SIM-O-001..~019, **none executed**) | All OPEN / PROPOSED, zero executed |</t>
        </is>
      </c>
    </row>
    <row r="39">
      <c r="A39" t="inlineStr">
        <is>
          <t>| Domain-specific closure sheets | `11`–`17` | SM closure, quantum gravity, cosmology closure, black-hole information, selection/uniqueness (`15_SELECTION_UNIQUENESS`, **SEL-001 = "Unique grammar... C0... OPEN"**, directly relevant to PRF-PRIM), compiler closure, biology/organization | All OPEN targets |</t>
        </is>
      </c>
    </row>
    <row r="40">
      <c r="A40" t="inlineStr">
        <is>
          <t>| Gap Matrix (own copy) + per-question closure audit | `18_GAP_164`, `25_NOT_YET_ADDRESSED` | Second copy of the 164-question matrix, PLUS a genuinely new **per-question closure-flag audit** ("NOT EXPLICITLY CLOSED" etc. for all 164 questions) | Directly extends Phase 1's own flagged gap — see below |</t>
        </is>
      </c>
    </row>
    <row r="41">
      <c r="A41" t="inlineStr">
        <is>
          <t>| Past-attempts recommendation log | `19_PAST_ATTEMPTS_RECOMMENDATIONS` (19 rows, ATT-001..019) | Retrospective on DTC, UDP, MDCL, ARBS/UPG, **TDIC (new proposal)**, SEIT, TNDS/NEDS, NCG route, H-003/004/006, COSMO-DYN, and 9 external benchmarks, each with a recommendation | Recommendations, not executed work — see TDIC below |</t>
        </is>
      </c>
    </row>
    <row r="42">
      <c r="A42" t="inlineStr">
        <is>
          <t>| External closure program | `20_EXTERNAL_CLOSURE_PROGRAM` | Further external-program detail | ADMITTED EXTERNAL |</t>
        </is>
      </c>
    </row>
    <row r="43">
      <c r="A43" t="inlineStr">
        <is>
          <t>| Theorem-target dependency DAG | `21_MASTER_CLOSURE_DAG` (30 edges, D-001..D-030) | A PARALLEL, theorem-target-granularity dependency graph (Parent→Child→Layer→Unlock Theorem), **D-001 = "Primitive reconciliation → Γ, C0, TH-001"** | New edges, all pointing at OPEN theorem targets — see Section 6/MASTER_DAG_vNEXT |</t>
        </is>
      </c>
    </row>
    <row r="44">
      <c r="A44" t="inlineStr">
        <is>
          <t>| Priority execution plan | `22_PRIORITY_EXECUTION_PLAN` (26 tasks, P0-01..P3-02) | Task-level plan with explicit stop/falsifier criteria, finer-grained than the existing `DAG_27_PHASE_EXECUTION_PLAN` (layer-level only) | Planning artifact, not executed |</t>
        </is>
      </c>
    </row>
    <row r="45">
      <c r="A45" t="inlineStr">
        <is>
          <t>| Research source register | `23_RESEARCH_SOURCE_REGISTER` (15 rows, SRC-WEB-001..015) | arXiv/PDG/CERN references used as external benchmarks | ADMITTED EXTERNAL INPUT (registered as EXT sources, see below) |</t>
        </is>
      </c>
    </row>
    <row r="46">
      <c r="A46" t="inlineStr">
        <is>
          <t>| Audit dashboard | `24_AUDIT_DASHBOARD` | Summary counts. Contains one VERIFIED reproducible arithmetic value: Ξ_UOC⁴ = (6.50×10⁻³¹)⁴ = 1.7850625×10⁻¹²¹ — **independently recomputed and confirmed exact** (this is arithmetic on the EXISTING PRED-004 value from `registries/MASTER_PREDICTIONS.csv`, not a new physical result) | VERIFIED (trivial arithmetic reproduction only, per Execution Firewall) |</t>
        </is>
      </c>
    </row>
    <row r="47">
      <c r="A47" t="inlineStr">
        <is>
          <t>| Standard equation targets | `26_STANDARD_EQUATION_TARGETS` (16 rows) | Textbook GR/SM equations UOC "must recover" | ADMITTED EXTERNAL (textbook equations) |</t>
        </is>
      </c>
    </row>
    <row r="48">
      <c r="A48" t="inlineStr">
        <is>
          <t>| Research synthesis | `27_RESEARCH_SYNTHESIS` (10 rows, R-001..010) | Web-research notes on external QG programs, with AI-search citation markers (e.g. "turn2academia36") | ADMITTED EXTERNAL, informal citation format |</t>
        </is>
      </c>
    </row>
    <row r="49">
      <c r="A49" t="inlineStr">
        <is>
          <t>| Standard completeness checklist | `28_STANDARD_COMPLETENESS_CHECKLIST` (27 items, CHK-001..027) | Generic ToE completeness checklist (state space, dynamics, symmetry, gauge, anomaly, unitarity, causality, Lorentz, renormalization, ...), all UOC status = OPEN | ADMITTED EXTERNAL checklist, applied |</t>
        </is>
      </c>
    </row>
    <row r="50">
      <c r="A50" t="inlineStr">
        <is>
          <t>| Candidate scorecard | `29_CANDIDATE_SCORECARD` | UOC/SEIT vs. 6 external QG programs across 7 criteria | ADMITTED EXTERNAL comparison |</t>
        </is>
      </c>
    </row>
    <row r="51">
      <c r="A51" t="inlineStr"/>
    </row>
    <row r="52">
      <c r="A52" t="inlineStr">
        <is>
          <t>## The one substantive new proposal: TDIC</t>
        </is>
      </c>
    </row>
    <row r="53">
      <c r="A53" t="inlineStr"/>
    </row>
    <row r="54">
      <c r="A54" t="inlineStr">
        <is>
          <t>`ATT-005` (`19_PAST_ATTEMPTS_RECOMMENDATIONS`) proposes **TDIC — "Typed Dependency Incidence</t>
        </is>
      </c>
    </row>
    <row r="55">
      <c r="A55" t="inlineStr">
        <is>
          <t>Complex"** as a candidate canonical substrate, explicitly recommended to **replace ARBS** ("ATT-004:</t>
        </is>
      </c>
    </row>
    <row r="56">
      <c r="A56" t="inlineStr">
        <is>
          <t>ARBS/UPG... Retire as canonical; preserve transferable results; re-derive ARBS-dependent claims in</t>
        </is>
      </c>
    </row>
    <row r="57">
      <c r="A57" t="inlineStr">
        <is>
          <t>TDIC"). TDIC is referenced in `00_README`, `03_EXTERNAL_PROGRAMS`, `12_QUANTUM_GRAVITY`,</t>
        </is>
      </c>
    </row>
    <row r="58">
      <c r="A58" t="inlineStr">
        <is>
          <t>`16_COMPILER_CLOSURE`, `19_PAST_ATTEMPTS_RECOMMENDATIONS`, and `22_PRIORITY_EXECUTION_PLAN` (task</t>
        </is>
      </c>
    </row>
    <row r="59">
      <c r="A59" t="inlineStr">
        <is>
          <t>P0-01: "Freeze canonical substrate... TDIC/UOC/MDCL; ARBS legacy only").</t>
        </is>
      </c>
    </row>
    <row r="60">
      <c r="A60" t="inlineStr"/>
    </row>
    <row r="61">
      <c r="A61" t="inlineStr">
        <is>
          <t>**No formal mathematical definition of TDIC (primitives, types, operators) was found anywhere in</t>
        </is>
      </c>
    </row>
    <row r="62">
      <c r="A62" t="inlineStr">
        <is>
          <t>the newly ingested corpus** — every occurrence is a name and a role ("proposed canonical</t>
        </is>
      </c>
    </row>
    <row r="63">
      <c r="A63" t="inlineStr">
        <is>
          <t>substrate," "implement as normalized table/executable substrate"), never a specification. Per</t>
        </is>
      </c>
    </row>
    <row r="64">
      <c r="A64" t="inlineStr">
        <is>
          <t>governance rule 2 ("do not import a desired answer") and the Execution Firewall (no new hypothesis</t>
        </is>
      </c>
    </row>
    <row r="65">
      <c r="A65" t="inlineStr">
        <is>
          <t>exploration), **TDIC is registered here as PROPOSED / NOT EXECUTED and NOT tested against</t>
        </is>
      </c>
    </row>
    <row r="66">
      <c r="A66" t="inlineStr">
        <is>
          <t>PRF-PRIM's findings.** See `C0_Impact` in the reconciliation workbook and Section 7 below.</t>
        </is>
      </c>
    </row>
    <row r="67">
      <c r="A67" t="inlineStr"/>
    </row>
    <row r="68">
      <c r="A68" t="inlineStr">
        <is>
          <t>## Relevant but not a "calculation": ARBS status conflict</t>
        </is>
      </c>
    </row>
    <row r="69">
      <c r="A69" t="inlineStr"/>
    </row>
    <row r="70">
      <c r="A70" t="inlineStr">
        <is>
          <t>`00_README` states plainly: **"ARBS is LEGACY ONLY. It is not canonical. Preserve non-ARBS results;</t>
        </is>
      </c>
    </row>
    <row r="71">
      <c r="A71" t="inlineStr">
        <is>
          <t>re-derive ARBS-dependent results in TDIC/UOC/MDCL."** This directly conflicts with SOURCE-004's own</t>
        </is>
      </c>
    </row>
    <row r="72">
      <c r="A72" t="inlineStr">
        <is>
          <t>characterization of ARBS ("the most formally rigorous component of the compiler architecture,"</t>
        </is>
      </c>
    </row>
    <row r="73">
      <c r="A73" t="inlineStr">
        <is>
          <t>Section 16 of the embedded UCG Specification text) and with `registries/MASTER_THEOREM_REGISTRY.csv`,</t>
        </is>
      </c>
    </row>
    <row r="74">
      <c r="A74" t="inlineStr">
        <is>
          <t>which carries 8 ARBS-derived theorems (RF-001..005, RK-001..003) at status **CERTIFIED**. This is a</t>
        </is>
      </c>
    </row>
    <row r="75">
      <c r="A75" t="inlineStr">
        <is>
          <t>genuine, material conflict — not a calculation — and is recorded in full in</t>
        </is>
      </c>
    </row>
    <row r="76">
      <c r="A76" t="inlineStr">
        <is>
          <t>`CONFLICTS_AND_VERSION_RESOLUTION.md` (CONFLICT-002). **No registry status was changed as a result</t>
        </is>
      </c>
    </row>
    <row r="77">
      <c r="A77" t="inlineStr">
        <is>
          <t>of this finding** (governance rule: never silently resolve a version conflict; never downgrade a</t>
        </is>
      </c>
    </row>
    <row r="78">
      <c r="A78" t="inlineStr">
        <is>
          <t>certified result without an executed falsification).</t>
        </is>
      </c>
    </row>
    <row r="79">
      <c r="A79" t="inlineStr"/>
    </row>
    <row r="80">
      <c r="A80" t="inlineStr">
        <is>
          <t>## Section 7 answer: does anything here strengthen, weaken, or change the scope of PRF-PRIM?</t>
        </is>
      </c>
    </row>
    <row r="81">
      <c r="A81" t="inlineStr"/>
    </row>
    <row r="82">
      <c r="A82" t="inlineStr">
        <is>
          <t>Per the directive's 8-way classification:</t>
        </is>
      </c>
    </row>
    <row r="83">
      <c r="A83" t="inlineStr"/>
    </row>
    <row r="84">
      <c r="A84" t="inlineStr">
        <is>
          <t>- **D. Changes the scope of the C0 result** — **YES.** `TH-001` (`06_OPEN_THEOREMS`) gives the</t>
        </is>
      </c>
    </row>
    <row r="85">
      <c r="A85" t="inlineStr">
        <is>
          <t xml:space="preserve">  formal target PRF-PRIM approximates: *"Show the canonical grammar is an equivalence class or</t>
        </is>
      </c>
    </row>
    <row r="86">
      <c r="A86" t="inlineStr">
        <is>
          <t xml:space="preserve">  strict reduction of **DTC/UDP/gradient/MDCL/NCG** realizations."* PRF-PRIM (executed in the prior</t>
        </is>
      </c>
    </row>
    <row r="87">
      <c r="A87" t="inlineStr">
        <is>
          <t xml:space="preserve">  phase) tested 4 systems: DTC (A), Physical/gradient (B), Computational B=(U,V,E) (C), Extended</t>
        </is>
      </c>
    </row>
    <row r="88">
      <c r="A88" t="inlineStr">
        <is>
          <t xml:space="preserve">  MDCL (D). It did **not** independently test **UDP** (the 16-phase canonical reduction protocol)</t>
        </is>
      </c>
    </row>
    <row r="89">
      <c r="A89" t="inlineStr">
        <is>
          <t xml:space="preserve">  or **NCG** (non-commutative geometry) as their own primitive-grammar realizations — PRF-PRIM used</t>
        </is>
      </c>
    </row>
    <row r="90">
      <c r="A90" t="inlineStr">
        <is>
          <t xml:space="preserve">  NCG only as an equation-source label (EQ-001..EQ-174's "NCG" section code), not as a primitive</t>
        </is>
      </c>
    </row>
    <row r="91">
      <c r="A91" t="inlineStr">
        <is>
          <t xml:space="preserve">  system. TH-001's target is therefore *broader* than what was executed. This does not invalidate</t>
        </is>
      </c>
    </row>
    <row r="92">
      <c r="A92" t="inlineStr">
        <is>
          <t xml:space="preserve">  any PRF-PRIM result; it clarifies that PRF-PRIM answered a subset of TH-001.</t>
        </is>
      </c>
    </row>
    <row r="93">
      <c r="A93" t="inlineStr">
        <is>
          <t>- **A/B/C (strengthens / provides missing lemma / provides counterexample)** — **NO.** No new</t>
        </is>
      </c>
    </row>
    <row r="94">
      <c r="A94" t="inlineStr">
        <is>
          <t xml:space="preserve">  lemma, proof, or counterexample relevant to Δ/τ/κ/Π/Θ/Ω was found.</t>
        </is>
      </c>
    </row>
    <row r="95">
      <c r="A95" t="inlineStr">
        <is>
          <t>- **E (resolves the Delta type mismatch)** — **NO.** Not mentioned or addressed anywhere in the new</t>
        </is>
      </c>
    </row>
    <row r="96">
      <c r="A96" t="inlineStr">
        <is>
          <t xml:space="preserve">  corpus.</t>
        </is>
      </c>
    </row>
    <row r="97">
      <c r="A97" t="inlineStr">
        <is>
          <t>- **F (establishes a previously missing mapping)** — **NO** new tested mapping. TDIC is a *proposed*</t>
        </is>
      </c>
    </row>
    <row r="98">
      <c r="A98" t="inlineStr">
        <is>
          <t xml:space="preserve">  additional structure, not a mapping between the 4 systems PRF-PRIM already tested.</t>
        </is>
      </c>
    </row>
    <row r="99">
      <c r="A99" t="inlineStr">
        <is>
          <t>- **G (creates a new contradiction)** — **NO** contradiction with PRF-PRIM's specific findings. (The</t>
        </is>
      </c>
    </row>
    <row r="100">
      <c r="A100" t="inlineStr">
        <is>
          <t xml:space="preserve">  ARBS conflict above is unrelated to PRF-PRIM's content.)</t>
        </is>
      </c>
    </row>
    <row r="101">
      <c r="A101" t="inlineStr">
        <is>
          <t>- **H (leaves C0 unchanged)** — **Effectively YES** for PRF-PRIM's actual computed content; its</t>
        </is>
      </c>
    </row>
    <row r="102">
      <c r="A102" t="inlineStr">
        <is>
          <t xml:space="preserve">  status, lemmas, and falsifications stand exactly as executed. Only the *stated scope* of the</t>
        </is>
      </c>
    </row>
    <row r="103">
      <c r="A103" t="inlineStr">
        <is>
          <t xml:space="preserve">  parent theorem (TH-001) is now more precisely known.</t>
        </is>
      </c>
    </row>
    <row r="104">
      <c r="A104" t="inlineStr"/>
    </row>
    <row r="105">
      <c r="A105" t="inlineStr">
        <is>
          <t>**Conclusion: PRF-PRIM is NOT rerun. Its result stands unmodified.** See `results/reconciliation/</t>
        </is>
      </c>
    </row>
    <row r="106">
      <c r="A106" t="inlineStr">
        <is>
          <t>PHASE_1_5_CORPUS_EXPANSION_REPORT.md` Section 7 for the full writeup and `CONFLICTS_AND_VERSION_</t>
        </is>
      </c>
    </row>
    <row r="107">
      <c r="A107" t="inlineStr">
        <is>
          <t>RESOLUTION.md` for the ARBS finding.</t>
        </is>
      </c>
    </row>
    <row r="108">
      <c r="A10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# Conflicts and Version Resolution — Phase 1.5</t>
        </is>
      </c>
    </row>
    <row r="2">
      <c r="A2" t="inlineStr"/>
    </row>
    <row r="3">
      <c r="A3" t="inlineStr">
        <is>
          <t>Per directive Section 4/12: every disagreement is recorded with SOURCE A, SOURCE B, OBJECT,</t>
        </is>
      </c>
    </row>
    <row r="4">
      <c r="A4" t="inlineStr">
        <is>
          <t>CONFLICT TYPE, VERSION, PROVENANCE, CURRENT STATUS, RECOMMENDED RESOLUTION, CONFIDENCE. **No</t>
        </is>
      </c>
    </row>
    <row r="5">
      <c r="A5" t="inlineStr">
        <is>
          <t>conflict below has been silently resolved** — where a recommendation is given, it is a</t>
        </is>
      </c>
    </row>
    <row r="6">
      <c r="A6" t="inlineStr">
        <is>
          <t>recommendation only; no registry status was changed as a result of this document.</t>
        </is>
      </c>
    </row>
    <row r="7">
      <c r="A7" t="inlineStr"/>
    </row>
    <row r="8">
      <c r="A8" t="inlineStr">
        <is>
          <t>---</t>
        </is>
      </c>
    </row>
    <row r="9">
      <c r="A9" t="inlineStr"/>
    </row>
    <row r="10">
      <c r="A10" t="inlineStr">
        <is>
          <t>## CONFLICT-001 — ARBS canonicity</t>
        </is>
      </c>
    </row>
    <row r="11">
      <c r="A11" t="inlineStr"/>
    </row>
    <row r="12">
      <c r="A12" t="inlineStr">
        <is>
          <t>| Field | Value |</t>
        </is>
      </c>
    </row>
    <row r="13">
      <c r="A13" t="inlineStr">
        <is>
          <t>|---|---|</t>
        </is>
      </c>
    </row>
    <row r="14">
      <c r="A14" t="inlineStr">
        <is>
          <t>| SOURCE A | SOURCE-004 (`UOC_ToE_Canonical_Bridge_Closure_Execution_v2.0.xlsx`), embedded UCG Specification text, Section 16: *"The ARBS Specification (Phases XXIII through XXV) is **the most formally rigorous component of the compiler architecture**."* Also `registries/MASTER_THEOREM_REGISTRY.csv`: 8 ARBS-derived theorems (RF-001..005, RK-001..003), all status **CERTIFIED**. |</t>
        </is>
      </c>
    </row>
    <row r="15">
      <c r="A15" t="inlineStr">
        <is>
          <t>| SOURCE B | SOURCE-010 (`UOC_ToE_Open_Closure_Master_v1.0.xlsx`), `00_README`: *"ARBS governance: ARBS is **LEGACY ONLY. It is not canonical.** Preserve non-ARBS results; re-derive ARBS-dependent results in TDIC/UOC/MDCL."* Repeated in `19_PAST_ATTEMPTS_RECOMMENDATIONS` (ATT-004: "Retire as canonical; preserve transferable results; re-derive ARBS-dependent claims in TDIC") and `22_PRIORITY_EXECUTION_PLAN` (P0-01: "ARBS legacy only"). |</t>
        </is>
      </c>
    </row>
    <row r="16">
      <c r="A16" t="inlineStr">
        <is>
          <t>| OBJECT | Canonical status of the ARBS (Automated Recovery / Bridge / Spectral?) framework and its 8 certified theorems. |</t>
        </is>
      </c>
    </row>
    <row r="17">
      <c r="A17" t="inlineStr">
        <is>
          <t>| CONFLICT TYPE | Direct status contradiction — SOURCE A treats ARBS as the most rigorous, canonical, certified component; SOURCE B treats it as legacy/non-canonical, to be retired and re-derived elsewhere. |</t>
        </is>
      </c>
    </row>
    <row r="18">
      <c r="A18" t="inlineStr">
        <is>
          <t>| VERSION | SOURCE-004 has no internal date beyond its synchronization timestamp (2026-08-16T19:08–19:12). SOURCE-010 has no internal date at all — no dashboard, no timestamp field found anywhere in its 30 sheets. **Chronological ordering between the two documents cannot be established from internal evidence.** |</t>
        </is>
      </c>
    </row>
    <row r="19">
      <c r="A19" t="inlineStr">
        <is>
          <t>| PROVENANCE | SOURCE-004: 90→110-sheet synthesis with an explicit, auditable synchronization chain (Sync v1→v2→v3→DAG Closure→Bridge Closure, all hash-verified this phase). SOURCE-010: a standalone document with zero sheet-name overlap with any other file in the corpus and zero reference to it in SOURCE-004's own 17-row source-corpus registry — it is not part of the verified synchronization chain at all. |</t>
        </is>
      </c>
    </row>
    <row r="20">
      <c r="A20" t="inlineStr">
        <is>
          <t>| CURRENT STATUS | UNRESOLVED. Both positions are preserved. `registries/MASTER_THEOREM_REGISTRY.csv`'s ARBS entries remain CERTIFIED (unchanged). |</t>
        </is>
      </c>
    </row>
    <row r="21">
      <c r="A21" t="inlineStr">
        <is>
          <t>| RECOMMENDED RESOLUTION | Do not downgrade the 8 ARBS theorems. They were CERTIFIED under an explicit proof basis (Mosco convergence, Gromov-Hausdorff, Trotter-Kato, Mac Lane coherence — see `registries/MASTER_THEOREM_REGISTRY.csv`), and a later document *asserting* non-canonicity is not itself a falsification or a superseding proof — it is a governance recommendation with no accompanying counter-proof. The recommended treatment is to flag ARBS as **"CERTIFIED, CANONICITY DISPUTED"** pending either (a) an explicit proof obligation showing an ARBS-dependent result fails, or (b) a dated, sourced governance decision that supersedes SOURCE-004's Section 16 characterization. This is a *recommendation*, not applied to the registries by this phase. |</t>
        </is>
      </c>
    </row>
    <row r="22">
      <c r="A22" t="inlineStr">
        <is>
          <t>| CONFIDENCE | MEDIUM. High confidence the conflict is real and textually explicit; medium confidence on resolution because chronology cannot be established, so it is not possible to determine whether SOURCE-010 is a later correction or an independent/earlier exploratory branch. |</t>
        </is>
      </c>
    </row>
    <row r="23">
      <c r="A23" t="inlineStr"/>
    </row>
    <row r="24">
      <c r="A24" t="inlineStr">
        <is>
          <t>---</t>
        </is>
      </c>
    </row>
    <row r="25">
      <c r="A25" t="inlineStr"/>
    </row>
    <row r="26">
      <c r="A26" t="inlineStr">
        <is>
          <t>## CONFLICT-002 — Closure-layer numbering (C0–C10 vs. C0–C16)</t>
        </is>
      </c>
    </row>
    <row r="27">
      <c r="A27" t="inlineStr"/>
    </row>
    <row r="28">
      <c r="A28" t="inlineStr">
        <is>
          <t>| Field | Value |</t>
        </is>
      </c>
    </row>
    <row r="29">
      <c r="A29" t="inlineStr">
        <is>
          <t>|---|---|</t>
        </is>
      </c>
    </row>
    <row r="30">
      <c r="A30" t="inlineStr">
        <is>
          <t>| SOURCE A | `registries/MASTER_CLOSURE_LAYERS_C0_C10.csv` (from SOURCE-004): exactly 11 layers, C0 through C10, each with a named core target, closure criterion, and explicit obligations. This is the scheme used throughout Phase 1 and the PRF-PRIM execution. |</t>
        </is>
      </c>
    </row>
    <row r="31">
      <c r="A31" t="inlineStr">
        <is>
          <t>| SOURCE B | SOURCE-010: references layers **C11** (UV completion — `01_TOE_BENCHMARK` TOE-005, `19_PAST_ATTEMPTS_RECOMMENDATIONS` ATT-013/016/017/018), **C12/C13** (known-limit hierarchy / renormalization — TOE-009, TOE-016), **C14** (black-hole information — TOE-018, ATT-019), and **C16** (selection/uniqueness — `15_SELECTION_UNIQUENESS`, TOE-013, D-029). No formal definition sheet for any of C11–C16 exists anywhere in SOURCE-010 (no `11_...` / `12_...` / `13_...` closure-layer-definition sheet analogous to SOURCE-004's `24_C0_C10_CLOSURE_LAYERS`) — they appear only as scattered cell references. C15 is never referenced. |</t>
        </is>
      </c>
    </row>
    <row r="32">
      <c r="A32" t="inlineStr">
        <is>
          <t>| OBJECT | The total number and identity of closure layers in the UOC architecture. |</t>
        </is>
      </c>
    </row>
    <row r="33">
      <c r="A33" t="inlineStr">
        <is>
          <t>| CONFLICT TYPE | Scope extension without formal specification — not a direct contradiction (C0–C10's own definitions are not disputed), but SOURCE B presupposes additional layers that SOURCE A's canonical registry does not contain. |</t>
        </is>
      </c>
    </row>
    <row r="34">
      <c r="A34" t="inlineStr">
        <is>
          <t>| VERSION | Same as CONFLICT-001 — no internal dating available for SOURCE-010. |</t>
        </is>
      </c>
    </row>
    <row r="35">
      <c r="A35" t="inlineStr">
        <is>
          <t>| PROVENANCE | Same as CONFLICT-001. |</t>
        </is>
      </c>
    </row>
    <row r="36">
      <c r="A36" t="inlineStr">
        <is>
          <t>| CURRENT STATUS | UNRESOLVED / UNADOPTED. `registries/MASTER_CLOSURE_LAYERS_C0_C10.csv` is unchanged; C11–C16 are NOT added to it. |</t>
        </is>
      </c>
    </row>
    <row r="37">
      <c r="A37" t="inlineStr">
        <is>
          <t>| RECOMMENDED RESOLUTION | Register C11 ("UV completion"), C12/C13 ("known-limit hierarchy / renormalization"), C14 ("black-hole information — note: distinct from and narrower than C7's existing horizon/information scope"), and C16 ("selection/uniqueness") as a **PROPOSED EXTENSION** to the closure architecture, pending a formal definition sheet with the same rigor as `24_C0_C10_CLOSURE_LAYERS`. Do not renumber or merge into C0–C10 without that. |</t>
        </is>
      </c>
    </row>
    <row r="38">
      <c r="A38" t="inlineStr">
        <is>
          <t>| CONFIDENCE | HIGH that the scope-extension is real and intentional (used consistently across 6+ sheets); LOW confidence on exact boundaries since no formal definitions exist to check against. |</t>
        </is>
      </c>
    </row>
    <row r="39">
      <c r="A39" t="inlineStr"/>
    </row>
    <row r="40">
      <c r="A40" t="inlineStr">
        <is>
          <t>---</t>
        </is>
      </c>
    </row>
    <row r="41">
      <c r="A41" t="inlineStr"/>
    </row>
    <row r="42">
      <c r="A42" t="inlineStr">
        <is>
          <t>## CONFLICT-003 — PRF-* ID namespace ambiguity</t>
        </is>
      </c>
    </row>
    <row r="43">
      <c r="A43" t="inlineStr"/>
    </row>
    <row r="44">
      <c r="A44" t="inlineStr">
        <is>
          <t>| Field | Value |</t>
        </is>
      </c>
    </row>
    <row r="45">
      <c r="A45" t="inlineStr">
        <is>
          <t>|---|---|</t>
        </is>
      </c>
    </row>
    <row r="46">
      <c r="A46" t="inlineStr">
        <is>
          <t>| SOURCE A | `registries/MASTER_PROOF_REGISTRY.csv`: named IDs (`PRF-ROG-3`, `PRF-PiO`, `PRF-ATU`, `PRF-SFP`, `PRF-UGNT`, `PRF-BORN`, `PRF-LOR`, `PRF-GEN`, `PRF-CONST`, `PRF-BNAT`, `PRF-PRIM`, plus this phase's 4 new `PRF-PRIM-*` sub-obligations). |</t>
        </is>
      </c>
    </row>
    <row r="47">
      <c r="A47" t="inlineStr">
        <is>
          <t>| SOURCE B | SOURCE-010, `07_OPEN_PROOFS`: numeric IDs `PRF-001` through approximately `PRF-018`, e.g. `PRF-001,Primitive reconciliation,"Formal equivalence/reduction among DTC, UDP, gradient, MDCL, NCG grammar routes",C0,OPEN,...` — note `PRF-001`'s CONTENT is the same obligation as `PRF-PRIM`, but under a DIFFERENT ID. |</t>
        </is>
      </c>
    </row>
    <row r="48">
      <c r="A48" t="inlineStr">
        <is>
          <t>| OBJECT | The proof-obligation ID namespace. |</t>
        </is>
      </c>
    </row>
    <row r="49">
      <c r="A49" t="inlineStr">
        <is>
          <t>| CONFLICT TYPE | Namespace collision risk — `PRF-001..018` (numeric) and `PRF-PRIM`/`PRF-BORN`/etc. (named) are different ID schemes referring to overlapping content, not literally colliding today, but liable to collide if either scheme is extended numerically or if `PRF-PRIM` is ever renamed `PRF-001`-style. |</t>
        </is>
      </c>
    </row>
    <row r="50">
      <c r="A50" t="inlineStr">
        <is>
          <t>| VERSION | Same dating limitation as above. |</t>
        </is>
      </c>
    </row>
    <row r="51">
      <c r="A51" t="inlineStr">
        <is>
          <t>| PROVENANCE | Same as CONFLICT-001. |</t>
        </is>
      </c>
    </row>
    <row r="52">
      <c r="A52" t="inlineStr">
        <is>
          <t>| CURRENT STATUS | No collision has occurred (verified: no existing registry ID matches any SOURCE-010 numeric PRF-* ID exactly). Not merged. |</t>
        </is>
      </c>
    </row>
    <row r="53">
      <c r="A53" t="inlineStr">
        <is>
          <t>| RECOMMENDED RESOLUTION | Treat SOURCE-010's `PRF-001..018` as an independent, PARALLEL enumeration (register with a source-qualified prefix, e.g. `OPEN-PRF-001`, if ever merged) rather than assuming `PRF-001` = `PRF-PRIM`. Content mapping (which numeric ID corresponds to which named obligation) was NOT performed in this phase — flagged as future reconciliation work, not resolved here. |</t>
        </is>
      </c>
    </row>
    <row r="54">
      <c r="A54" t="inlineStr">
        <is>
          <t>| CONFIDENCE | HIGH the risk is real; MEDIUM on the specific content-mapping since it was not exhaustively cross-checked row by row. |</t>
        </is>
      </c>
    </row>
    <row r="55">
      <c r="A55" t="inlineStr"/>
    </row>
    <row r="56">
      <c r="A56" t="inlineStr">
        <is>
          <t>---</t>
        </is>
      </c>
    </row>
    <row r="57">
      <c r="A57" t="inlineStr"/>
    </row>
    <row r="58">
      <c r="A58" t="inlineStr">
        <is>
          <t>## Non-conflicts (checked, confirmed clean — recorded to show the check was actually performed)</t>
        </is>
      </c>
    </row>
    <row r="59">
      <c r="A59" t="inlineStr"/>
    </row>
    <row r="60">
      <c r="A60" t="inlineStr">
        <is>
          <t>| Item | Check performed | Result |</t>
        </is>
      </c>
    </row>
    <row r="61">
      <c r="A61" t="inlineStr">
        <is>
          <t>|---|---|---|</t>
        </is>
      </c>
    </row>
    <row r="62">
      <c r="A62" t="inlineStr">
        <is>
          <t>| Sync v1.0/v2.0/v3.0 vs. SOURCE-004 content | Full per-sheet SHA-256 diff, all 4 files, 318 sheets | 0 unexpected diffs — see `SYNCHRONIZATION_HISTORY.md` |</t>
        </is>
      </c>
    </row>
    <row r="63">
      <c r="A63" t="inlineStr">
        <is>
          <t>| DER-entry count 60→55→59 across sync versions | Cross-checked against `registries/MASTER_DER_VERSION_RECONCILIATION.csv` (already ingested Phase 1) | Already explained (v1 used a broader "registry rows" count including primitives/axioms; v2/v3/DAG-layer count DER-IDs specifically) — not a new conflict, not re-litigated |</t>
        </is>
      </c>
    </row>
    <row r="64">
      <c r="A64" t="inlineStr">
        <is>
          <t>| BR-* IDs in SOURCE-010's `05_OPEN_BRIDGES` (17 rows) | Compared against `registries/MASTER_BRIDGE_REGISTRY.csv` BR-001..029 | All 17 IDs are pre-existing; content of the one spot-checked (BR-001) is consistent, not contradictory — this is a re-listing in an "open closure status" framing, not a new or conflicting bridge |</t>
        </is>
      </c>
    </row>
    <row r="65">
      <c r="A65" t="inlineStr">
        <is>
          <t>| Q_ID values in `25_NOT_YET_ADDRESSED` (164 rows) | Compared against `registries/MASTER_TOE_GAP_MATRIX_164.csv` | Same 164-question numbering; this sheet is a valuable NEW per-question closure-flag layer, not a conflicting renumbering — see `NEWLY_DISCOVERED_CALCULATIONS.md` |</t>
        </is>
      </c>
    </row>
    <row r="66">
      <c r="A66" t="inlineStr">
        <is>
          <t>| Ξ_UOC⁴ arithmetic (`24_AUDIT_DASHBOARD`) | Independently recomputed: (6.50×10⁻³¹)⁴ | Exact match (1.7850625×10⁻¹²¹) — reproducible, not a conflict |</t>
        </is>
      </c>
    </row>
    <row r="67">
      <c r="A6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Candidates considered</t>
        </is>
      </c>
      <c r="B2" t="inlineStr">
        <is>
          <t>DER-ORG-006 (fixed-point equivalence, C1); PRF-PRIM-DELTA-TYPE (resolve Delta's type inconsistency, C0); DER-C0-PRIMGRAPH-001 follow-up (test UDP/NCG as primitive systems, C0)</t>
        </is>
      </c>
    </row>
    <row r="3">
      <c r="A3" t="inlineStr">
        <is>
          <t>Ranked priority 1</t>
        </is>
      </c>
      <c r="B3" t="inlineStr">
        <is>
          <t>DER-ORG-006 -- Fixed-point equivalence theorem (C1)</t>
        </is>
      </c>
    </row>
    <row r="4">
      <c r="A4" t="inlineStr">
        <is>
          <t>Ranked priority 2</t>
        </is>
      </c>
      <c r="B4" t="inlineStr">
        <is>
          <t>PRF-PRIM-DELTA-TYPE -- resolve Delta's boundary-operator vs endomorphism inconsistency (C0)</t>
        </is>
      </c>
    </row>
    <row r="5">
      <c r="A5" t="inlineStr">
        <is>
          <t>Ranked priority 3</t>
        </is>
      </c>
      <c r="B5" t="inlineStr">
        <is>
          <t>Test UDP and NCG as independent primitive-grammar realizations against TH-001's full scope (C0, extends PRF-PRIM)</t>
        </is>
      </c>
    </row>
    <row r="6">
      <c r="A6" t="inlineStr">
        <is>
          <t>DESIGNATED NEXT EXECUTABLE DER</t>
        </is>
      </c>
      <c r="B6" t="inlineStr">
        <is>
          <t>DER-ORG-006 (unchanged from the prior recommendation)</t>
        </is>
      </c>
    </row>
    <row r="7">
      <c r="A7" t="inlineStr">
        <is>
          <t>Why unchanged</t>
        </is>
      </c>
      <c r="B7" t="inlineStr">
        <is>
          <t>No newly-discovered calculation in SOURCE-010 substitutes for or completes DER-ORG-006 -- TH-002/003/004 (SOURCE-010's own theorem targets for C1) confirm it is still OPEN with the identical statement. The corpus expansion did not surface higher-leverage prerequisite work; it confirmed the existing priority order (SOURCE-010's own 22_PRIORITY_EXECUTION_PLAN independently ranks 'Close Gamma fixed-point implementation' as P0-02, CRITICAL, immediately after freezing the canonical substrate).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Phase</t>
        </is>
      </c>
      <c r="B2" t="inlineStr">
        <is>
          <t>1.5 -- Corpus Expansion + Reconciliation (RECONCILIATION ONLY, no new DER executed)</t>
        </is>
      </c>
    </row>
    <row r="3">
      <c r="A3" t="inlineStr">
        <is>
          <t>Session</t>
        </is>
      </c>
      <c r="B3" t="inlineStr">
        <is>
          <t>session_01UBKp9Jq2qXFgravroyUp32</t>
        </is>
      </c>
    </row>
    <row r="4">
      <c r="A4" t="inlineStr">
        <is>
          <t>Date</t>
        </is>
      </c>
      <c r="B4" t="inlineStr">
        <is>
          <t>2026-08-17</t>
        </is>
      </c>
    </row>
    <row r="5">
      <c r="A5" t="inlineStr">
        <is>
          <t>New files ingested</t>
        </is>
      </c>
      <c r="B5" t="inlineStr">
        <is>
          <t>5 (SOURCE-006..010)</t>
        </is>
      </c>
    </row>
    <row r="6">
      <c r="A6" t="inlineStr">
        <is>
          <t>Verification method</t>
        </is>
      </c>
      <c r="B6" t="inlineStr">
        <is>
          <t>SHA-256 file hash (whole file) + SHA-256 per-sheet CSV hash (318 sheets extracted and compared)</t>
        </is>
      </c>
    </row>
    <row r="7">
      <c r="A7" t="inlineStr">
        <is>
          <t>Execution Firewall compliance</t>
        </is>
      </c>
      <c r="B7" t="inlineStr">
        <is>
          <t>No new theorem proven, no new DER executed, no new hypothesis numerically explored. Only reproduced: 1 trivial arithmetic check (Xi^4) and hash/content verification.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" t="inlineStr">
        <is>
          <t>Step</t>
        </is>
      </c>
      <c r="B1" s="1" t="inlineStr">
        <is>
          <t>Method</t>
        </is>
      </c>
    </row>
    <row r="2">
      <c r="A2" t="inlineStr">
        <is>
          <t>1</t>
        </is>
      </c>
      <c r="B2" t="inlineStr">
        <is>
          <t>Compute SHA-256 of all 5 uploaded files; compare against hashes already recorded inside SOURCE-004 (51_SYNC_SOURCE_HASHES, 62_V3_SYNC_CHECKSUMS)</t>
        </is>
      </c>
    </row>
    <row r="3">
      <c r="A3" t="inlineStr">
        <is>
          <t>2</t>
        </is>
      </c>
      <c r="B3" t="inlineStr">
        <is>
          <t>Extract all worksheets of all 5 files to CSV (openpyxl, data_only=True)</t>
        </is>
      </c>
    </row>
    <row r="4">
      <c r="A4" t="inlineStr">
        <is>
          <t>3</t>
        </is>
      </c>
      <c r="B4" t="inlineStr">
        <is>
          <t>Per-sheet SHA-256 hash comparison against source_records/spreadsheets/UOC_ToE_Canonical_Bridge_Closure_Execution_v2.0/ (already in repo from Phase 1)</t>
        </is>
      </c>
    </row>
    <row r="5">
      <c r="A5" t="inlineStr">
        <is>
          <t>4</t>
        </is>
      </c>
      <c r="B5" t="inlineStr">
        <is>
          <t>Manual read-through of all 30 sheets of the one genuinely new file (Open_Closure_v1.0) plus targeted keyword greps (TDIC, PRF-PRIM, primitive, C1x)</t>
        </is>
      </c>
    </row>
    <row r="6">
      <c r="A6" t="inlineStr">
        <is>
          <t>5</t>
        </is>
      </c>
      <c r="B6" t="inlineStr">
        <is>
          <t>Build vNEXT registries by verbatim-copy-plus-append (never in-place edit) of Phase-1 registries</t>
        </is>
      </c>
    </row>
    <row r="7">
      <c r="A7" t="inlineStr">
        <is>
          <t>6</t>
        </is>
      </c>
      <c r="B7" t="inlineStr">
        <is>
          <t>Merge MASTER_DAG_vNEXT nodes/edges; re-run networkx cycle audit on both the new sub-graph and the full merged graph</t>
        </is>
      </c>
    </row>
    <row r="8">
      <c r="A8" t="inlineStr">
        <is>
          <t>7</t>
        </is>
      </c>
      <c r="B8" t="inlineStr">
        <is>
          <t>Verify 1 trivial arithmetic claim (Xi_UOC^4) by direct recomputation</t>
        </is>
      </c>
    </row>
    <row r="9">
      <c r="A9" t="inlineStr">
        <is>
          <t>All steps deterministic; no randomization; no observational data used as an ancestor of any UOC-internal quantity.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" customWidth="1" min="1" max="1"/>
    <col width="12.6" customWidth="1" min="2" max="2"/>
    <col width="53.1" customWidth="1" min="3" max="3"/>
  </cols>
  <sheetData>
    <row r="1">
      <c r="A1" s="2" t="inlineStr">
        <is>
          <t>See SYNCHRONIZATION_HISTORY.md for full detail</t>
        </is>
      </c>
    </row>
    <row r="2">
      <c r="A2" s="1" t="inlineStr">
        <is>
          <t>Metric</t>
        </is>
      </c>
      <c r="B2" s="1" t="inlineStr">
        <is>
          <t>v1.0 value</t>
        </is>
      </c>
      <c r="C2" s="1" t="inlineStr">
        <is>
          <t>v2.0 value</t>
        </is>
      </c>
    </row>
    <row r="3">
      <c r="A3" t="inlineStr">
        <is>
          <t>New sheets added</t>
        </is>
      </c>
      <c r="B3" t="inlineStr">
        <is>
          <t>n/a (baseline)</t>
        </is>
      </c>
      <c r="C3" t="inlineStr">
        <is>
          <t>13 (40_DER_CANONICAL_SOURCE .. 52_V2_SYNCHRONIZATION_DELTA)</t>
        </is>
      </c>
    </row>
    <row r="4">
      <c r="A4" t="inlineStr">
        <is>
          <t>Sheets removed</t>
        </is>
      </c>
      <c r="B4" t="inlineStr">
        <is>
          <t>n/a</t>
        </is>
      </c>
      <c r="C4" t="inlineStr">
        <is>
          <t>0</t>
        </is>
      </c>
    </row>
    <row r="5">
      <c r="A5" t="inlineStr">
        <is>
          <t>Content-changed shared sheets</t>
        </is>
      </c>
      <c r="B5" t="inlineStr">
        <is>
          <t>n/a</t>
        </is>
      </c>
      <c r="C5" t="inlineStr">
        <is>
          <t>1 (00_DASHBOARD only)</t>
        </is>
      </c>
    </row>
    <row r="6">
      <c r="A6" t="inlineStr">
        <is>
          <t>Classification</t>
        </is>
      </c>
      <c r="B6" t="inlineStr">
        <is>
          <t>n/a</t>
        </is>
      </c>
      <c r="C6" t="inlineStr">
        <is>
          <t>ADDITIVE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" customWidth="1" min="1" max="1"/>
    <col width="12.6" customWidth="1" min="2" max="2"/>
    <col width="48.6" customWidth="1" min="3" max="3"/>
  </cols>
  <sheetData>
    <row r="1">
      <c r="A1" s="2" t="inlineStr">
        <is>
          <t>See SYNCHRONIZATION_HISTORY.md for full detail</t>
        </is>
      </c>
    </row>
    <row r="2">
      <c r="A2" s="1" t="inlineStr">
        <is>
          <t>Metric</t>
        </is>
      </c>
      <c r="B2" s="1" t="inlineStr">
        <is>
          <t>v2.0 value</t>
        </is>
      </c>
      <c r="C2" s="1" t="inlineStr">
        <is>
          <t>v3.0 value</t>
        </is>
      </c>
    </row>
    <row r="3">
      <c r="A3" t="inlineStr">
        <is>
          <t>New sheets added</t>
        </is>
      </c>
      <c r="B3" t="inlineStr">
        <is>
          <t>n/a (baseline)</t>
        </is>
      </c>
      <c r="C3" t="inlineStr">
        <is>
          <t>10 (53_SOURCE_CORPUS_REGISTRY .. 62_V3_SYNC_CHECKSUMS)</t>
        </is>
      </c>
    </row>
    <row r="4">
      <c r="A4" t="inlineStr">
        <is>
          <t>Sheets removed</t>
        </is>
      </c>
      <c r="B4" t="inlineStr">
        <is>
          <t>n/a</t>
        </is>
      </c>
      <c r="C4" t="inlineStr">
        <is>
          <t>0</t>
        </is>
      </c>
    </row>
    <row r="5">
      <c r="A5" t="inlineStr">
        <is>
          <t>Content-changed shared sheets</t>
        </is>
      </c>
      <c r="B5" t="inlineStr">
        <is>
          <t>n/a</t>
        </is>
      </c>
      <c r="C5" t="inlineStr">
        <is>
          <t>1 (00_DASHBOARD only)</t>
        </is>
      </c>
    </row>
    <row r="6">
      <c r="A6" t="inlineStr">
        <is>
          <t>Classification</t>
        </is>
      </c>
      <c r="B6" t="inlineStr">
        <is>
          <t>n/a</t>
        </is>
      </c>
      <c r="C6" t="inlineStr">
        <is>
          <t>ADDITIVE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.8" customWidth="1" min="2" max="2"/>
    <col width="12" customWidth="1" min="3" max="3"/>
    <col width="12" customWidth="1" min="4" max="4"/>
    <col width="57.6" customWidth="1" min="5" max="5"/>
    <col width="65" customWidth="1" min="6" max="6"/>
    <col width="64.8" customWidth="1" min="7" max="7"/>
    <col width="36" customWidth="1" min="8" max="8"/>
    <col width="65" customWidth="1" min="9" max="9"/>
  </cols>
  <sheetData>
    <row r="1">
      <c r="A1" s="2" t="inlineStr">
        <is>
          <t>v1.0 -&gt; v2.0 -&gt; v3.0 -&gt; DAG_Closure_v1.0 -&gt; Bridge_Closure_Execution_v2.0: strictly additive at every step (0 removed, 0 content-modified except rolling dashboards). Full chain in SYNCHRONIZATION_HISTORY.md</t>
        </is>
      </c>
    </row>
    <row r="2">
      <c r="A2" s="1" t="inlineStr">
        <is>
          <t>SOURCE_ID</t>
        </is>
      </c>
      <c r="B2" s="1" t="inlineStr">
        <is>
          <t>filename</t>
        </is>
      </c>
      <c r="C2" s="1" t="inlineStr">
        <is>
          <t>file_type</t>
        </is>
      </c>
      <c r="D2" s="1" t="inlineStr">
        <is>
          <t>bytes</t>
        </is>
      </c>
      <c r="E2" s="1" t="inlineStr">
        <is>
          <t>sha256</t>
        </is>
      </c>
      <c r="F2" s="1" t="inlineStr">
        <is>
          <t>provenance_verification</t>
        </is>
      </c>
      <c r="G2" s="1" t="inlineStr">
        <is>
          <t>relationship_to_existing_corpus</t>
        </is>
      </c>
      <c r="H2" s="1" t="inlineStr">
        <is>
          <t>source_authority</t>
        </is>
      </c>
      <c r="I2" s="1" t="inlineStr">
        <is>
          <t>status</t>
        </is>
      </c>
    </row>
    <row r="3">
      <c r="A3" t="inlineStr">
        <is>
          <t>SOURCE-001</t>
        </is>
      </c>
      <c r="B3" t="inlineStr">
        <is>
          <t>Theory of Everything - Status Report.docx</t>
        </is>
      </c>
      <c r="C3" t="inlineStr">
        <is>
          <t>DOCX</t>
        </is>
      </c>
      <c r="D3" t="inlineStr">
        <is>
          <t>20340</t>
        </is>
      </c>
      <c r="E3" t="inlineStr">
        <is>
          <t>7369a4ebde4ee742d180599fd3c9f1558011f716d3a6b555d9be1234bd690457</t>
        </is>
      </c>
      <c r="F3" t="inlineStr">
        <is>
          <t>Phase 1: verified identical to corpus's own SRC-007</t>
        </is>
      </c>
      <c r="G3" t="inlineStr">
        <is>
          <t>External mainstream-physics baseline (unrelated to UOC internals)</t>
        </is>
      </c>
      <c r="H3" t="inlineStr">
        <is>
          <t>PRIMARY</t>
        </is>
      </c>
      <c r="I3" t="inlineStr">
        <is>
          <t>Unchanged since Phase 1</t>
        </is>
      </c>
    </row>
    <row r="4">
      <c r="A4" t="inlineStr">
        <is>
          <t>SOURCE-002</t>
        </is>
      </c>
      <c r="B4" t="inlineStr">
        <is>
          <t>ToE Gap Matrix.xlsx</t>
        </is>
      </c>
      <c r="C4" t="inlineStr">
        <is>
          <t>XLSX</t>
        </is>
      </c>
      <c r="D4" t="inlineStr">
        <is>
          <t>32872</t>
        </is>
      </c>
      <c r="E4" t="inlineStr">
        <is>
          <t>2bcd0954977694487e08477cebf5d8c93fcb85d48f53a8760fe12206ae7baecd</t>
        </is>
      </c>
      <c r="F4" t="inlineStr">
        <is>
          <t>Phase 1: verified identical to corpus's own SRC-004</t>
        </is>
      </c>
      <c r="G4" t="inlineStr">
        <is>
          <t>164-question external checklist; embedded verbatim in SOURCE-004/008/009</t>
        </is>
      </c>
      <c r="H4" t="inlineStr">
        <is>
          <t>PRIMARY</t>
        </is>
      </c>
      <c r="I4" t="inlineStr">
        <is>
          <t>Unchanged since Phase 1</t>
        </is>
      </c>
    </row>
    <row r="5">
      <c r="A5" t="inlineStr">
        <is>
          <t>SOURCE-003</t>
        </is>
      </c>
      <c r="B5" t="inlineStr">
        <is>
          <t>UOC_Master_Closure_Updated.xlsx</t>
        </is>
      </c>
      <c r="C5" t="inlineStr">
        <is>
          <t>XLSX</t>
        </is>
      </c>
      <c r="D5" t="inlineStr">
        <is>
          <t>46545</t>
        </is>
      </c>
      <c r="E5" t="inlineStr">
        <is>
          <t>4c65d28c01afc495c2ded8d4df672d09b88de152e99c8523094bb924cbcf4cfd</t>
        </is>
      </c>
      <c r="F5" t="inlineStr">
        <is>
          <t>Phase 1: verified identical to corpus's own SRC-002</t>
        </is>
      </c>
      <c r="G5" t="inlineStr">
        <is>
          <t>Intermediate closure snapshot; embedded verbatim in SOURCE-004/008/009</t>
        </is>
      </c>
      <c r="H5" t="inlineStr">
        <is>
          <t>PRIMARY</t>
        </is>
      </c>
      <c r="I5" t="inlineStr">
        <is>
          <t>Unchanged since Phase 1</t>
        </is>
      </c>
    </row>
    <row r="6">
      <c r="A6" t="inlineStr">
        <is>
          <t>SOURCE-004</t>
        </is>
      </c>
      <c r="B6" t="inlineStr">
        <is>
          <t>UOC_ToE_Canonical_Bridge_Closure_Execution_v2.0.xlsx</t>
        </is>
      </c>
      <c r="C6" t="inlineStr">
        <is>
          <t>XLSX</t>
        </is>
      </c>
      <c r="D6" t="inlineStr">
        <is>
          <t>1069184</t>
        </is>
      </c>
      <c r="E6" t="inlineStr">
        <is>
          <t>69cf3b05b5386fc1324dadd69bc2ce0c7087e68313f6be991951a7e00ce9fec2</t>
        </is>
      </c>
      <c r="F6" t="inlineStr">
        <is>
          <t>Phase 1.5: CONFIRMED = SOURCE-009 (DAG_Closure_v1.0) + 8 new BRIDGE_* sheets (101/102 shared sheets byte-identical; only DAG_00_DASHBOARD differs by 2 additive summary rows)</t>
        </is>
      </c>
      <c r="G6" t="inlineStr">
        <is>
          <t>Most complete synthesis prior to this phase</t>
        </is>
      </c>
      <c r="H6" t="inlineStr">
        <is>
          <t>PRIMARY / MOST AUTHORITATIVE FOR PHASE 1</t>
        </is>
      </c>
      <c r="I6" t="inlineStr">
        <is>
          <t>Superseded in completeness by nothing in this phase -- still the fullest single UOC registry workbook; Open_Closure_v1.0 (SOURCE-010) is complementary, not a superset</t>
        </is>
      </c>
    </row>
    <row r="7">
      <c r="A7" t="inlineStr">
        <is>
          <t>SOURCE-005</t>
        </is>
      </c>
      <c r="B7" t="inlineStr">
        <is>
          <t>UOC_ToE_Canonical_Calculated_Master_v1.0.xlsx</t>
        </is>
      </c>
      <c r="C7" t="inlineStr">
        <is>
          <t>XLSX</t>
        </is>
      </c>
      <c r="D7" t="inlineStr">
        <is>
          <t>80424</t>
        </is>
      </c>
      <c r="E7" t="inlineStr">
        <is>
          <t>b6831f7211e348f5e160122edc9f9d17a2e5122e1243f5d33a0d954d1991b024</t>
        </is>
      </c>
      <c r="F7" t="inlineStr">
        <is>
          <t>Phase 1: no hash match found in SOURCE-004's own checksum tables (independent narrower snapshot)</t>
        </is>
      </c>
      <c r="G7" t="inlineStr">
        <is>
          <t>Certified/calculated-only companion, scope unchanged</t>
        </is>
      </c>
      <c r="H7" t="inlineStr">
        <is>
          <t>PRIMARY</t>
        </is>
      </c>
      <c r="I7" t="inlineStr">
        <is>
          <t>Unchanged since Phase 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" customWidth="1" min="1" max="1"/>
    <col width="6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Which file is canonical?</t>
        </is>
      </c>
      <c r="B2" t="inlineStr">
        <is>
          <t>UOC_ToE_Canonical_Bridge_Closure_Execution_v2.0.xlsx (SOURCE-004) -- unchanged conclusion from Phase 1, now independently PROVEN by hash rather than assumed from version number</t>
        </is>
      </c>
    </row>
    <row r="3">
      <c r="A3" t="inlineStr">
        <is>
          <t>Why not simply 'highest version number'?</t>
        </is>
      </c>
      <c r="B3" t="inlineStr">
        <is>
          <t>Because the chain was verified byte-identical wherever content is shared -- the decision is evidence-based (0 conflicting rows found), not a version-number default</t>
        </is>
      </c>
    </row>
    <row r="4">
      <c r="A4" t="inlineStr">
        <is>
          <t>Is Open_Closure_v1.0 part of this decision?</t>
        </is>
      </c>
      <c r="B4" t="inlineStr">
        <is>
          <t>NO -- it is a disjoint, complementary document (zero sheet-name overlap, not in SOURCE-004's own provenance chain), not a competing synchronization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2026-08-17T17:54:04Z</dcterms:created>
  <dcterms:modified xmlns:dcterms="http://purl.org/dc/terms/" xmlns:xsi="http://www.w3.org/2001/XMLSchema-instance" xsi:type="dcterms:W3CDTF">2026-08-17T17:54:04Z</dcterms:modified>
</cp:coreProperties>
</file>